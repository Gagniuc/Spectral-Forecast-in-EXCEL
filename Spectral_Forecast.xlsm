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esktop\"/>
    </mc:Choice>
  </mc:AlternateContent>
  <bookViews>
    <workbookView xWindow="0" yWindow="0" windowWidth="38400" windowHeight="17835"/>
  </bookViews>
  <sheets>
    <sheet name="Spectral forecast - simple" sheetId="13" r:id="rId1"/>
    <sheet name="Spectral forecast - on data" sheetId="10" r:id="rId2"/>
    <sheet name="-" sheetId="11" r:id="rId3"/>
    <sheet name="+" sheetId="12" r:id="rId4"/>
  </sheets>
  <definedNames>
    <definedName name="_xlnm.Print_Area" localSheetId="1">'Spectral forecast - on data'!$A$1:$CV$158</definedName>
  </definedNames>
  <calcPr calcId="152511"/>
</workbook>
</file>

<file path=xl/calcChain.xml><?xml version="1.0" encoding="utf-8"?>
<calcChain xmlns="http://schemas.openxmlformats.org/spreadsheetml/2006/main">
  <c r="AC10" i="13" l="1"/>
  <c r="AD10" i="13"/>
  <c r="AE10" i="13"/>
  <c r="AF10" i="13"/>
  <c r="AG10" i="13"/>
  <c r="AH10" i="13"/>
  <c r="AI10" i="13"/>
  <c r="AJ10" i="13"/>
  <c r="AK10" i="13"/>
  <c r="AL10" i="13"/>
  <c r="AM10" i="13"/>
  <c r="AN10" i="13"/>
  <c r="AO10" i="13"/>
  <c r="AP10" i="13"/>
  <c r="AQ10" i="13"/>
  <c r="AR10" i="13"/>
  <c r="AS10" i="13"/>
  <c r="AT10" i="13"/>
  <c r="AU10" i="13"/>
  <c r="AV10" i="13"/>
  <c r="AC11" i="13"/>
  <c r="AD11" i="13"/>
  <c r="AE11" i="13"/>
  <c r="AF11" i="13"/>
  <c r="AG11" i="13"/>
  <c r="AH11" i="13"/>
  <c r="AI11" i="13"/>
  <c r="AJ11" i="13"/>
  <c r="AK11" i="13"/>
  <c r="AL11" i="13"/>
  <c r="AM11" i="13"/>
  <c r="AN11" i="13"/>
  <c r="AO11" i="13"/>
  <c r="AP11" i="13"/>
  <c r="AQ11" i="13"/>
  <c r="AR11" i="13"/>
  <c r="AS11" i="13"/>
  <c r="AT11" i="13"/>
  <c r="AU11" i="13"/>
  <c r="AV11" i="13"/>
  <c r="AC12" i="13"/>
  <c r="AD12" i="13"/>
  <c r="AE12" i="13"/>
  <c r="AF12" i="13"/>
  <c r="AG12" i="13"/>
  <c r="AH12" i="13"/>
  <c r="AI12" i="13"/>
  <c r="AJ12" i="13"/>
  <c r="AK12" i="13"/>
  <c r="AL12" i="13"/>
  <c r="AM12" i="13"/>
  <c r="AN12" i="13"/>
  <c r="AO12" i="13"/>
  <c r="AP12" i="13"/>
  <c r="AQ12" i="13"/>
  <c r="AR12" i="13"/>
  <c r="AS12" i="13"/>
  <c r="AT12" i="13"/>
  <c r="AU12" i="13"/>
  <c r="AV12" i="13"/>
  <c r="AC13" i="13"/>
  <c r="AD13" i="13"/>
  <c r="AE13" i="13"/>
  <c r="AF13" i="13"/>
  <c r="AG13" i="13"/>
  <c r="AH13" i="13"/>
  <c r="AI13" i="13"/>
  <c r="AJ13" i="13"/>
  <c r="AK13" i="13"/>
  <c r="AL13" i="13"/>
  <c r="AM13" i="13"/>
  <c r="AN13" i="13"/>
  <c r="AO13" i="13"/>
  <c r="AP13" i="13"/>
  <c r="AQ13" i="13"/>
  <c r="AR13" i="13"/>
  <c r="AS13" i="13"/>
  <c r="AT13" i="13"/>
  <c r="AU13" i="13"/>
  <c r="AV13" i="13"/>
  <c r="AC14" i="13"/>
  <c r="AD14" i="13"/>
  <c r="AE14" i="13"/>
  <c r="AF14" i="13"/>
  <c r="AG14" i="13"/>
  <c r="AH14" i="13"/>
  <c r="AI14" i="13"/>
  <c r="AJ14" i="13"/>
  <c r="AK14" i="13"/>
  <c r="AL14" i="13"/>
  <c r="AM14" i="13"/>
  <c r="AN14" i="13"/>
  <c r="AO14" i="13"/>
  <c r="AP14" i="13"/>
  <c r="AQ14" i="13"/>
  <c r="AR14" i="13"/>
  <c r="AS14" i="13"/>
  <c r="AT14" i="13"/>
  <c r="AU14" i="13"/>
  <c r="AV14" i="13"/>
  <c r="AC15" i="13"/>
  <c r="AD15" i="13"/>
  <c r="AE15" i="13"/>
  <c r="AF15" i="13"/>
  <c r="AG15" i="13"/>
  <c r="AH15" i="13"/>
  <c r="AI15" i="13"/>
  <c r="AJ15" i="13"/>
  <c r="AK15" i="13"/>
  <c r="AL15" i="13"/>
  <c r="AM15" i="13"/>
  <c r="AN15" i="13"/>
  <c r="AO15" i="13"/>
  <c r="AP15" i="13"/>
  <c r="AQ15" i="13"/>
  <c r="AR15" i="13"/>
  <c r="AS15" i="13"/>
  <c r="AT15" i="13"/>
  <c r="AU15" i="13"/>
  <c r="AV15" i="13"/>
  <c r="AC16" i="13"/>
  <c r="AD16" i="13"/>
  <c r="AE16" i="13"/>
  <c r="AF16" i="13"/>
  <c r="AG16" i="13"/>
  <c r="AH16" i="13"/>
  <c r="AI16" i="13"/>
  <c r="AJ16" i="13"/>
  <c r="AK16" i="13"/>
  <c r="AL16" i="13"/>
  <c r="AM16" i="13"/>
  <c r="AN16" i="13"/>
  <c r="AO16" i="13"/>
  <c r="AP16" i="13"/>
  <c r="AQ16" i="13"/>
  <c r="AR16" i="13"/>
  <c r="AS16" i="13"/>
  <c r="AT16" i="13"/>
  <c r="AU16" i="13"/>
  <c r="AV16" i="13"/>
  <c r="AC17" i="13"/>
  <c r="AD17" i="13"/>
  <c r="AE17" i="13"/>
  <c r="AF17" i="13"/>
  <c r="AG17" i="13"/>
  <c r="AH17" i="13"/>
  <c r="AI17" i="13"/>
  <c r="AJ17" i="13"/>
  <c r="AK17" i="13"/>
  <c r="AL17" i="13"/>
  <c r="AM17" i="13"/>
  <c r="AN17" i="13"/>
  <c r="AO17" i="13"/>
  <c r="AP17" i="13"/>
  <c r="AQ17" i="13"/>
  <c r="AR17" i="13"/>
  <c r="AS17" i="13"/>
  <c r="AT17" i="13"/>
  <c r="AU17" i="13"/>
  <c r="AV17" i="13"/>
  <c r="AC18" i="13"/>
  <c r="AD18" i="13"/>
  <c r="AE18" i="13"/>
  <c r="AF18" i="13"/>
  <c r="AG18" i="13"/>
  <c r="AH18" i="13"/>
  <c r="AI18" i="13"/>
  <c r="AJ18" i="13"/>
  <c r="AK18" i="13"/>
  <c r="AL18" i="13"/>
  <c r="AM18" i="13"/>
  <c r="AN18" i="13"/>
  <c r="AO18" i="13"/>
  <c r="AP18" i="13"/>
  <c r="AQ18" i="13"/>
  <c r="AR18" i="13"/>
  <c r="AS18" i="13"/>
  <c r="AT18" i="13"/>
  <c r="AU18" i="13"/>
  <c r="AV18" i="13"/>
  <c r="AD9" i="13"/>
  <c r="AE9" i="13"/>
  <c r="AF9" i="13"/>
  <c r="AG9" i="13"/>
  <c r="AH9" i="13"/>
  <c r="AI9" i="13"/>
  <c r="AJ9" i="13"/>
  <c r="AK9" i="13"/>
  <c r="AL9" i="13"/>
  <c r="AM9" i="13"/>
  <c r="AN9" i="13"/>
  <c r="AO9" i="13"/>
  <c r="AP9" i="13"/>
  <c r="AQ9" i="13"/>
  <c r="AR9" i="13"/>
  <c r="AS9" i="13"/>
  <c r="AT9" i="13"/>
  <c r="AU9" i="13"/>
  <c r="AV9" i="13"/>
  <c r="AC9" i="13"/>
  <c r="BA22" i="13"/>
  <c r="E22" i="13"/>
  <c r="S42" i="12" l="1"/>
  <c r="T42" i="12"/>
  <c r="S43" i="12"/>
  <c r="T43" i="12"/>
  <c r="S44" i="12"/>
  <c r="T44" i="12"/>
  <c r="S45" i="12"/>
  <c r="T45" i="12"/>
  <c r="S46" i="12"/>
  <c r="T46" i="12"/>
  <c r="S47" i="12"/>
  <c r="T47" i="12"/>
  <c r="S48" i="12"/>
  <c r="T48" i="12"/>
  <c r="T104" i="11" l="1"/>
  <c r="S104" i="11"/>
  <c r="T104" i="12"/>
  <c r="S104" i="12"/>
  <c r="T103" i="12" l="1"/>
  <c r="S103" i="12"/>
  <c r="T102" i="12"/>
  <c r="S102" i="12"/>
  <c r="T101" i="12"/>
  <c r="S101" i="12"/>
  <c r="T100" i="12"/>
  <c r="S100" i="12"/>
  <c r="T99" i="12"/>
  <c r="S99" i="12"/>
  <c r="T98" i="12"/>
  <c r="S98" i="12"/>
  <c r="T97" i="12"/>
  <c r="S97" i="12"/>
  <c r="T96" i="12"/>
  <c r="S96" i="12"/>
  <c r="T95" i="12"/>
  <c r="S95" i="12"/>
  <c r="T94" i="12"/>
  <c r="S94" i="12"/>
  <c r="T93" i="12"/>
  <c r="S93" i="12"/>
  <c r="T92" i="12"/>
  <c r="S92" i="12"/>
  <c r="T91" i="12"/>
  <c r="S91" i="12"/>
  <c r="T90" i="12"/>
  <c r="S90" i="12"/>
  <c r="T89" i="12"/>
  <c r="S89" i="12"/>
  <c r="T88" i="12"/>
  <c r="S88" i="12"/>
  <c r="T87" i="12"/>
  <c r="S87" i="12"/>
  <c r="T86" i="12"/>
  <c r="S86" i="12"/>
  <c r="T85" i="12"/>
  <c r="S85" i="12"/>
  <c r="T84" i="12"/>
  <c r="S84" i="12"/>
  <c r="T83" i="12"/>
  <c r="S83" i="12"/>
  <c r="T82" i="12"/>
  <c r="S82" i="12"/>
  <c r="T81" i="12"/>
  <c r="S81" i="12"/>
  <c r="T80" i="12"/>
  <c r="S80" i="12"/>
  <c r="T79" i="12"/>
  <c r="S79" i="12"/>
  <c r="T78" i="12"/>
  <c r="S78" i="12"/>
  <c r="T77" i="12"/>
  <c r="S77" i="12"/>
  <c r="T76" i="12"/>
  <c r="S76" i="12"/>
  <c r="T75" i="12"/>
  <c r="S75" i="12"/>
  <c r="T74" i="12"/>
  <c r="S74" i="12"/>
  <c r="T73" i="12"/>
  <c r="S73" i="12"/>
  <c r="T72" i="12"/>
  <c r="S72" i="12"/>
  <c r="T71" i="12"/>
  <c r="S71" i="12"/>
  <c r="T70" i="12"/>
  <c r="S70" i="12"/>
  <c r="T69" i="12"/>
  <c r="S69" i="12"/>
  <c r="T68" i="12"/>
  <c r="S68" i="12"/>
  <c r="T67" i="12"/>
  <c r="S67" i="12"/>
  <c r="T66" i="12"/>
  <c r="S66" i="12"/>
  <c r="T65" i="12"/>
  <c r="S65" i="12"/>
  <c r="T64" i="12"/>
  <c r="S64" i="12"/>
  <c r="T63" i="12"/>
  <c r="S63" i="12"/>
  <c r="T62" i="12"/>
  <c r="S62" i="12"/>
  <c r="T61" i="12"/>
  <c r="S61" i="12"/>
  <c r="T60" i="12"/>
  <c r="S60" i="12"/>
  <c r="T59" i="12"/>
  <c r="S59" i="12"/>
  <c r="T58" i="12"/>
  <c r="S58" i="12"/>
  <c r="T57" i="12"/>
  <c r="S57" i="12"/>
  <c r="T56" i="12"/>
  <c r="S56" i="12"/>
  <c r="T55" i="12"/>
  <c r="S55" i="12"/>
  <c r="T54" i="12"/>
  <c r="S54" i="12"/>
  <c r="T53" i="12"/>
  <c r="S53" i="12"/>
  <c r="T52" i="12"/>
  <c r="S52" i="12"/>
  <c r="T51" i="12"/>
  <c r="S51" i="12"/>
  <c r="T50" i="12"/>
  <c r="S50" i="12"/>
  <c r="T49" i="12"/>
  <c r="S49" i="12"/>
  <c r="T41" i="12"/>
  <c r="S41" i="12"/>
  <c r="T40" i="12"/>
  <c r="S40" i="12"/>
  <c r="T39" i="12"/>
  <c r="S39" i="12"/>
  <c r="T38" i="12"/>
  <c r="S38" i="12"/>
  <c r="T37" i="12"/>
  <c r="S37" i="12"/>
  <c r="T36" i="12"/>
  <c r="S36" i="12"/>
  <c r="T35" i="12"/>
  <c r="S35" i="12"/>
  <c r="T34" i="12"/>
  <c r="S34" i="12"/>
  <c r="T33" i="12"/>
  <c r="S33" i="12"/>
  <c r="T32" i="12"/>
  <c r="S32" i="12"/>
  <c r="T31" i="12"/>
  <c r="S31" i="12"/>
  <c r="T30" i="12"/>
  <c r="S30" i="12"/>
  <c r="T29" i="12"/>
  <c r="S29" i="12"/>
  <c r="T28" i="12"/>
  <c r="S28" i="12"/>
  <c r="T27" i="12"/>
  <c r="S27" i="12"/>
  <c r="T26" i="12"/>
  <c r="S26" i="12"/>
  <c r="T25" i="12"/>
  <c r="S25" i="12"/>
  <c r="T24" i="12"/>
  <c r="S24" i="12"/>
  <c r="T23" i="12"/>
  <c r="S23" i="12"/>
  <c r="T22" i="12"/>
  <c r="S22" i="12"/>
  <c r="T21" i="12"/>
  <c r="S21" i="12"/>
  <c r="T20" i="12"/>
  <c r="S20" i="12"/>
  <c r="T19" i="12"/>
  <c r="S19" i="12"/>
  <c r="T18" i="12"/>
  <c r="S18" i="12"/>
  <c r="T17" i="12"/>
  <c r="S17" i="12"/>
  <c r="T16" i="12"/>
  <c r="S16" i="12"/>
  <c r="T15" i="12"/>
  <c r="S15" i="12"/>
  <c r="T14" i="12"/>
  <c r="S14" i="12"/>
  <c r="T13" i="12"/>
  <c r="S13" i="12"/>
  <c r="T12" i="12"/>
  <c r="S12" i="12"/>
  <c r="T11" i="12"/>
  <c r="S11" i="12"/>
  <c r="T10" i="12"/>
  <c r="S10" i="12"/>
  <c r="T9" i="12"/>
  <c r="S9" i="12"/>
  <c r="T8" i="12"/>
  <c r="S8" i="12"/>
  <c r="T7" i="12"/>
  <c r="S7" i="12"/>
  <c r="T6" i="12"/>
  <c r="S6" i="12"/>
  <c r="T5" i="12"/>
  <c r="S5" i="12"/>
  <c r="T4" i="12"/>
  <c r="S4" i="12"/>
  <c r="T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T54" i="11"/>
  <c r="T55" i="11"/>
  <c r="T56" i="11"/>
  <c r="T57" i="11"/>
  <c r="T58" i="11"/>
  <c r="T59" i="11"/>
  <c r="T60" i="11"/>
  <c r="T61" i="11"/>
  <c r="T62" i="11"/>
  <c r="T63" i="11"/>
  <c r="T64" i="11"/>
  <c r="T65" i="11"/>
  <c r="T66" i="11"/>
  <c r="T67" i="11"/>
  <c r="T68" i="11"/>
  <c r="T69" i="11"/>
  <c r="T70" i="11"/>
  <c r="T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88" i="11"/>
  <c r="T89" i="11"/>
  <c r="T90" i="11"/>
  <c r="T91" i="11"/>
  <c r="T92" i="11"/>
  <c r="T93" i="11"/>
  <c r="T94" i="11"/>
  <c r="T95" i="11"/>
  <c r="T96" i="11"/>
  <c r="T97" i="11"/>
  <c r="T98" i="11"/>
  <c r="T99" i="11"/>
  <c r="T100" i="11"/>
  <c r="T101" i="11"/>
  <c r="T102" i="11"/>
  <c r="T103" i="11"/>
  <c r="T4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88" i="11"/>
  <c r="S89" i="11"/>
  <c r="S90" i="11"/>
  <c r="S91" i="11"/>
  <c r="S92" i="11"/>
  <c r="S93" i="11"/>
  <c r="S94" i="11"/>
  <c r="S95" i="11"/>
  <c r="S96" i="11"/>
  <c r="S97" i="11"/>
  <c r="S98" i="11"/>
  <c r="S99" i="11"/>
  <c r="S100" i="11"/>
  <c r="S101" i="11"/>
  <c r="S102" i="11"/>
  <c r="S103" i="11"/>
  <c r="AY51" i="10" l="1"/>
  <c r="AZ51" i="10"/>
  <c r="BA51" i="10"/>
  <c r="BB51" i="10"/>
  <c r="BC51" i="10"/>
  <c r="BD51" i="10"/>
  <c r="BE51" i="10"/>
  <c r="BF51" i="10"/>
  <c r="BG51" i="10"/>
  <c r="BH51" i="10"/>
  <c r="BI51" i="10"/>
  <c r="BJ51" i="10"/>
  <c r="BK51" i="10"/>
  <c r="BL51" i="10"/>
  <c r="BM51" i="10"/>
  <c r="BN51" i="10"/>
  <c r="BO51" i="10"/>
  <c r="BP51" i="10"/>
  <c r="BQ51" i="10"/>
  <c r="BR51" i="10"/>
  <c r="AY52" i="10"/>
  <c r="AZ52" i="10"/>
  <c r="BA52" i="10"/>
  <c r="BB52" i="10"/>
  <c r="BC52" i="10"/>
  <c r="BD52" i="10"/>
  <c r="BE52" i="10"/>
  <c r="BF52" i="10"/>
  <c r="BG52" i="10"/>
  <c r="BH52" i="10"/>
  <c r="BI52" i="10"/>
  <c r="BJ52" i="10"/>
  <c r="BK52" i="10"/>
  <c r="BL52" i="10"/>
  <c r="BM52" i="10"/>
  <c r="BN52" i="10"/>
  <c r="BO52" i="10"/>
  <c r="BP52" i="10"/>
  <c r="BQ52" i="10"/>
  <c r="BR52" i="10"/>
  <c r="AY53" i="10"/>
  <c r="AZ53" i="10"/>
  <c r="BA53" i="10"/>
  <c r="BB53" i="10"/>
  <c r="BC53" i="10"/>
  <c r="BD53" i="10"/>
  <c r="BE53" i="10"/>
  <c r="BF53" i="10"/>
  <c r="BG53" i="10"/>
  <c r="BH53" i="10"/>
  <c r="BI53" i="10"/>
  <c r="BJ53" i="10"/>
  <c r="BK53" i="10"/>
  <c r="BL53" i="10"/>
  <c r="BM53" i="10"/>
  <c r="BN53" i="10"/>
  <c r="BO53" i="10"/>
  <c r="BP53" i="10"/>
  <c r="BQ53" i="10"/>
  <c r="BR53" i="10"/>
  <c r="AY54" i="10"/>
  <c r="AZ54" i="10"/>
  <c r="BA54" i="10"/>
  <c r="BB54" i="10"/>
  <c r="BC54" i="10"/>
  <c r="BD54" i="10"/>
  <c r="BE54" i="10"/>
  <c r="BF54" i="10"/>
  <c r="BG54" i="10"/>
  <c r="BH54" i="10"/>
  <c r="BI54" i="10"/>
  <c r="BJ54" i="10"/>
  <c r="BK54" i="10"/>
  <c r="BL54" i="10"/>
  <c r="BM54" i="10"/>
  <c r="BN54" i="10"/>
  <c r="BO54" i="10"/>
  <c r="BP54" i="10"/>
  <c r="BQ54" i="10"/>
  <c r="BR54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AY56" i="10"/>
  <c r="AZ56" i="10"/>
  <c r="BA56" i="10"/>
  <c r="BB56" i="10"/>
  <c r="BC56" i="10"/>
  <c r="BD56" i="10"/>
  <c r="BE56" i="10"/>
  <c r="BF56" i="10"/>
  <c r="BG56" i="10"/>
  <c r="BH56" i="10"/>
  <c r="BI56" i="10"/>
  <c r="BJ56" i="10"/>
  <c r="BK56" i="10"/>
  <c r="BL56" i="10"/>
  <c r="BM56" i="10"/>
  <c r="BN56" i="10"/>
  <c r="BO56" i="10"/>
  <c r="BP56" i="10"/>
  <c r="BQ56" i="10"/>
  <c r="BR56" i="10"/>
  <c r="AY57" i="10"/>
  <c r="AZ57" i="10"/>
  <c r="BA57" i="10"/>
  <c r="BB57" i="10"/>
  <c r="BC57" i="10"/>
  <c r="BD57" i="10"/>
  <c r="BE57" i="10"/>
  <c r="BF57" i="10"/>
  <c r="BG57" i="10"/>
  <c r="BH57" i="10"/>
  <c r="BI57" i="10"/>
  <c r="BJ57" i="10"/>
  <c r="BK57" i="10"/>
  <c r="BL57" i="10"/>
  <c r="BM57" i="10"/>
  <c r="BN57" i="10"/>
  <c r="BO57" i="10"/>
  <c r="BP57" i="10"/>
  <c r="BQ57" i="10"/>
  <c r="BR57" i="10"/>
  <c r="AY58" i="10"/>
  <c r="AZ58" i="10"/>
  <c r="BA58" i="10"/>
  <c r="BB58" i="10"/>
  <c r="BC58" i="10"/>
  <c r="BD58" i="10"/>
  <c r="BE58" i="10"/>
  <c r="BF58" i="10"/>
  <c r="BG58" i="10"/>
  <c r="BH58" i="10"/>
  <c r="BI58" i="10"/>
  <c r="BJ58" i="10"/>
  <c r="BK58" i="10"/>
  <c r="BL58" i="10"/>
  <c r="BM58" i="10"/>
  <c r="BN58" i="10"/>
  <c r="BO58" i="10"/>
  <c r="BP58" i="10"/>
  <c r="BQ58" i="10"/>
  <c r="BR58" i="10"/>
  <c r="AY59" i="10"/>
  <c r="AZ59" i="10"/>
  <c r="BA59" i="10"/>
  <c r="BB59" i="10"/>
  <c r="BC59" i="10"/>
  <c r="BD59" i="10"/>
  <c r="BE59" i="10"/>
  <c r="BF59" i="10"/>
  <c r="BG59" i="10"/>
  <c r="BH59" i="10"/>
  <c r="BI59" i="10"/>
  <c r="BJ59" i="10"/>
  <c r="BK59" i="10"/>
  <c r="BL59" i="10"/>
  <c r="BM59" i="10"/>
  <c r="BN59" i="10"/>
  <c r="BO59" i="10"/>
  <c r="BP59" i="10"/>
  <c r="BQ59" i="10"/>
  <c r="BR59" i="10"/>
  <c r="AZ50" i="10"/>
  <c r="BA50" i="10"/>
  <c r="BB50" i="10"/>
  <c r="BC50" i="10"/>
  <c r="BD50" i="10"/>
  <c r="BE50" i="10"/>
  <c r="BF50" i="10"/>
  <c r="BG50" i="10"/>
  <c r="BH50" i="10"/>
  <c r="BI50" i="10"/>
  <c r="BJ50" i="10"/>
  <c r="BK50" i="10"/>
  <c r="BL50" i="10"/>
  <c r="BM50" i="10"/>
  <c r="BN50" i="10"/>
  <c r="BO50" i="10"/>
  <c r="BP50" i="10"/>
  <c r="BQ50" i="10"/>
  <c r="BR50" i="10"/>
  <c r="AY50" i="10"/>
  <c r="AY20" i="10"/>
  <c r="AQ15" i="10" s="1"/>
  <c r="S58" i="10" s="1"/>
  <c r="C20" i="10"/>
  <c r="BR18" i="10"/>
  <c r="BQ18" i="10"/>
  <c r="BP18" i="10"/>
  <c r="BO18" i="10"/>
  <c r="BN18" i="10"/>
  <c r="BM18" i="10"/>
  <c r="BL18" i="10"/>
  <c r="BK18" i="10"/>
  <c r="BJ18" i="10"/>
  <c r="BI18" i="10"/>
  <c r="BH18" i="10"/>
  <c r="BG18" i="10"/>
  <c r="BF18" i="10"/>
  <c r="BE18" i="10"/>
  <c r="BD18" i="10"/>
  <c r="BC18" i="10"/>
  <c r="BB18" i="10"/>
  <c r="BA18" i="10"/>
  <c r="AZ18" i="10"/>
  <c r="AY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BR17" i="10"/>
  <c r="BQ17" i="10"/>
  <c r="BP17" i="10"/>
  <c r="BO17" i="10"/>
  <c r="BN17" i="10"/>
  <c r="BM17" i="10"/>
  <c r="BL17" i="10"/>
  <c r="BK17" i="10"/>
  <c r="BJ17" i="10"/>
  <c r="BI17" i="10"/>
  <c r="BH17" i="10"/>
  <c r="BG17" i="10"/>
  <c r="BF17" i="10"/>
  <c r="BE17" i="10"/>
  <c r="BD17" i="10"/>
  <c r="BC17" i="10"/>
  <c r="BB17" i="10"/>
  <c r="BA17" i="10"/>
  <c r="AZ17" i="10"/>
  <c r="AY17" i="10"/>
  <c r="V17" i="10"/>
  <c r="U17" i="10"/>
  <c r="T17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C17" i="10"/>
  <c r="BS16" i="10"/>
  <c r="W16" i="10"/>
  <c r="BS15" i="10"/>
  <c r="W15" i="10"/>
  <c r="BS14" i="10"/>
  <c r="AH14" i="10"/>
  <c r="AH48" i="10" s="1"/>
  <c r="W14" i="10"/>
  <c r="BS13" i="10"/>
  <c r="AL13" i="10"/>
  <c r="AL47" i="10" s="1"/>
  <c r="W13" i="10"/>
  <c r="BS12" i="10"/>
  <c r="AP12" i="10"/>
  <c r="W12" i="10"/>
  <c r="BS11" i="10"/>
  <c r="AT11" i="10"/>
  <c r="AT45" i="10" s="1"/>
  <c r="AD11" i="10"/>
  <c r="W11" i="10"/>
  <c r="BS10" i="10"/>
  <c r="AH10" i="10"/>
  <c r="W10" i="10"/>
  <c r="BS9" i="10"/>
  <c r="AL9" i="10"/>
  <c r="W9" i="10"/>
  <c r="BS8" i="10"/>
  <c r="AP8" i="10"/>
  <c r="W8" i="10"/>
  <c r="BS7" i="10"/>
  <c r="AT7" i="10"/>
  <c r="V50" i="10" s="1"/>
  <c r="AD7" i="10"/>
  <c r="F50" i="10" s="1"/>
  <c r="W7" i="10"/>
  <c r="AP14" i="10" l="1"/>
  <c r="AP48" i="10" s="1"/>
  <c r="AL7" i="10"/>
  <c r="N50" i="10" s="1"/>
  <c r="AH8" i="10"/>
  <c r="AH42" i="10" s="1"/>
  <c r="AD9" i="10"/>
  <c r="AD43" i="10" s="1"/>
  <c r="AT9" i="10"/>
  <c r="AT43" i="10" s="1"/>
  <c r="AP10" i="10"/>
  <c r="AP44" i="10" s="1"/>
  <c r="AL11" i="10"/>
  <c r="N54" i="10" s="1"/>
  <c r="AH12" i="10"/>
  <c r="AH46" i="10" s="1"/>
  <c r="AD13" i="10"/>
  <c r="AD47" i="10" s="1"/>
  <c r="AT13" i="10"/>
  <c r="AT47" i="10" s="1"/>
  <c r="AN16" i="10"/>
  <c r="AN50" i="10" s="1"/>
  <c r="AH7" i="10"/>
  <c r="J50" i="10" s="1"/>
  <c r="AP7" i="10"/>
  <c r="R50" i="10" s="1"/>
  <c r="AD8" i="10"/>
  <c r="AD42" i="10" s="1"/>
  <c r="AL8" i="10"/>
  <c r="N51" i="10" s="1"/>
  <c r="AT8" i="10"/>
  <c r="AT42" i="10" s="1"/>
  <c r="AH9" i="10"/>
  <c r="AH43" i="10" s="1"/>
  <c r="AP9" i="10"/>
  <c r="R52" i="10" s="1"/>
  <c r="AD10" i="10"/>
  <c r="F53" i="10" s="1"/>
  <c r="AL10" i="10"/>
  <c r="AL44" i="10" s="1"/>
  <c r="AT10" i="10"/>
  <c r="AT44" i="10" s="1"/>
  <c r="AH11" i="10"/>
  <c r="AH45" i="10" s="1"/>
  <c r="AP11" i="10"/>
  <c r="AP45" i="10" s="1"/>
  <c r="AD12" i="10"/>
  <c r="AD46" i="10" s="1"/>
  <c r="AL12" i="10"/>
  <c r="N55" i="10" s="1"/>
  <c r="AT12" i="10"/>
  <c r="AT46" i="10" s="1"/>
  <c r="AH13" i="10"/>
  <c r="AH47" i="10" s="1"/>
  <c r="AP13" i="10"/>
  <c r="AP47" i="10" s="1"/>
  <c r="AD14" i="10"/>
  <c r="AD48" i="10" s="1"/>
  <c r="AL14" i="10"/>
  <c r="AL48" i="10" s="1"/>
  <c r="AB15" i="10"/>
  <c r="AB49" i="10" s="1"/>
  <c r="AF16" i="10"/>
  <c r="AF50" i="10" s="1"/>
  <c r="AB7" i="10"/>
  <c r="D50" i="10" s="1"/>
  <c r="AF7" i="10"/>
  <c r="H50" i="10" s="1"/>
  <c r="AJ7" i="10"/>
  <c r="L50" i="10" s="1"/>
  <c r="AN7" i="10"/>
  <c r="P50" i="10" s="1"/>
  <c r="AR7" i="10"/>
  <c r="T50" i="10" s="1"/>
  <c r="AB8" i="10"/>
  <c r="AB42" i="10" s="1"/>
  <c r="AF8" i="10"/>
  <c r="H51" i="10" s="1"/>
  <c r="AJ8" i="10"/>
  <c r="L51" i="10" s="1"/>
  <c r="AN8" i="10"/>
  <c r="P51" i="10" s="1"/>
  <c r="AR8" i="10"/>
  <c r="T51" i="10" s="1"/>
  <c r="AB9" i="10"/>
  <c r="D52" i="10" s="1"/>
  <c r="AF9" i="10"/>
  <c r="AF43" i="10" s="1"/>
  <c r="AJ9" i="10"/>
  <c r="AJ43" i="10" s="1"/>
  <c r="AN9" i="10"/>
  <c r="AN43" i="10" s="1"/>
  <c r="AR9" i="10"/>
  <c r="T52" i="10" s="1"/>
  <c r="AB10" i="10"/>
  <c r="D53" i="10" s="1"/>
  <c r="AF10" i="10"/>
  <c r="H53" i="10" s="1"/>
  <c r="AJ10" i="10"/>
  <c r="L53" i="10" s="1"/>
  <c r="AN10" i="10"/>
  <c r="AN44" i="10" s="1"/>
  <c r="AR10" i="10"/>
  <c r="T53" i="10" s="1"/>
  <c r="AB11" i="10"/>
  <c r="AB45" i="10" s="1"/>
  <c r="AF11" i="10"/>
  <c r="AF45" i="10" s="1"/>
  <c r="AJ11" i="10"/>
  <c r="L54" i="10" s="1"/>
  <c r="AN11" i="10"/>
  <c r="AN45" i="10" s="1"/>
  <c r="AR11" i="10"/>
  <c r="AR45" i="10" s="1"/>
  <c r="AB12" i="10"/>
  <c r="D55" i="10" s="1"/>
  <c r="AF12" i="10"/>
  <c r="AF46" i="10" s="1"/>
  <c r="AJ12" i="10"/>
  <c r="L55" i="10" s="1"/>
  <c r="AN12" i="10"/>
  <c r="P55" i="10" s="1"/>
  <c r="AR12" i="10"/>
  <c r="T55" i="10" s="1"/>
  <c r="AB13" i="10"/>
  <c r="D56" i="10" s="1"/>
  <c r="AF13" i="10"/>
  <c r="H56" i="10" s="1"/>
  <c r="AJ13" i="10"/>
  <c r="AJ47" i="10" s="1"/>
  <c r="AN13" i="10"/>
  <c r="P56" i="10" s="1"/>
  <c r="AR13" i="10"/>
  <c r="T56" i="10" s="1"/>
  <c r="AB14" i="10"/>
  <c r="D57" i="10" s="1"/>
  <c r="AF14" i="10"/>
  <c r="AF48" i="10" s="1"/>
  <c r="AJ14" i="10"/>
  <c r="L57" i="10" s="1"/>
  <c r="AN14" i="10"/>
  <c r="P57" i="10" s="1"/>
  <c r="AR14" i="10"/>
  <c r="T57" i="10" s="1"/>
  <c r="AI15" i="10"/>
  <c r="K58" i="10" s="1"/>
  <c r="AP42" i="10"/>
  <c r="AL43" i="10"/>
  <c r="AH44" i="10"/>
  <c r="AD45" i="10"/>
  <c r="AP46" i="10"/>
  <c r="AT16" i="10"/>
  <c r="AP16" i="10"/>
  <c r="AL16" i="10"/>
  <c r="AH16" i="10"/>
  <c r="AD16" i="10"/>
  <c r="AS15" i="10"/>
  <c r="AO15" i="10"/>
  <c r="AK15" i="10"/>
  <c r="AG15" i="10"/>
  <c r="AC15" i="10"/>
  <c r="AA15" i="10"/>
  <c r="AS14" i="10"/>
  <c r="AQ49" i="10"/>
  <c r="J57" i="10"/>
  <c r="N56" i="10"/>
  <c r="R55" i="10"/>
  <c r="V54" i="10"/>
  <c r="F54" i="10"/>
  <c r="J53" i="10"/>
  <c r="N52" i="10"/>
  <c r="R51" i="10"/>
  <c r="AA7" i="10"/>
  <c r="AC7" i="10"/>
  <c r="AE7" i="10"/>
  <c r="AG7" i="10"/>
  <c r="AI7" i="10"/>
  <c r="AK7" i="10"/>
  <c r="AM7" i="10"/>
  <c r="AO7" i="10"/>
  <c r="AQ7" i="10"/>
  <c r="AS7" i="10"/>
  <c r="AA8" i="10"/>
  <c r="AC8" i="10"/>
  <c r="AE8" i="10"/>
  <c r="AG8" i="10"/>
  <c r="AI8" i="10"/>
  <c r="AK8" i="10"/>
  <c r="AM8" i="10"/>
  <c r="AO8" i="10"/>
  <c r="AQ8" i="10"/>
  <c r="AS8" i="10"/>
  <c r="AA9" i="10"/>
  <c r="AC9" i="10"/>
  <c r="AE9" i="10"/>
  <c r="AG9" i="10"/>
  <c r="AI9" i="10"/>
  <c r="AK9" i="10"/>
  <c r="AM9" i="10"/>
  <c r="AO9" i="10"/>
  <c r="AQ9" i="10"/>
  <c r="AS9" i="10"/>
  <c r="AA10" i="10"/>
  <c r="AC10" i="10"/>
  <c r="AE10" i="10"/>
  <c r="AG10" i="10"/>
  <c r="AI10" i="10"/>
  <c r="AK10" i="10"/>
  <c r="AM10" i="10"/>
  <c r="AO10" i="10"/>
  <c r="AQ10" i="10"/>
  <c r="AS10" i="10"/>
  <c r="AA11" i="10"/>
  <c r="AC11" i="10"/>
  <c r="AE11" i="10"/>
  <c r="AG11" i="10"/>
  <c r="AI11" i="10"/>
  <c r="AK11" i="10"/>
  <c r="AM11" i="10"/>
  <c r="AO11" i="10"/>
  <c r="AQ11" i="10"/>
  <c r="AS11" i="10"/>
  <c r="AA12" i="10"/>
  <c r="AC12" i="10"/>
  <c r="AE12" i="10"/>
  <c r="AG12" i="10"/>
  <c r="AI12" i="10"/>
  <c r="AK12" i="10"/>
  <c r="AM12" i="10"/>
  <c r="AO12" i="10"/>
  <c r="AQ12" i="10"/>
  <c r="AS12" i="10"/>
  <c r="AA13" i="10"/>
  <c r="AC13" i="10"/>
  <c r="AE13" i="10"/>
  <c r="AG13" i="10"/>
  <c r="AI13" i="10"/>
  <c r="AK13" i="10"/>
  <c r="AM13" i="10"/>
  <c r="AO13" i="10"/>
  <c r="AQ13" i="10"/>
  <c r="AS13" i="10"/>
  <c r="AA14" i="10"/>
  <c r="AC14" i="10"/>
  <c r="AE14" i="10"/>
  <c r="AG14" i="10"/>
  <c r="AI14" i="10"/>
  <c r="AK14" i="10"/>
  <c r="AM14" i="10"/>
  <c r="AO14" i="10"/>
  <c r="AQ14" i="10"/>
  <c r="AT14" i="10"/>
  <c r="AE15" i="10"/>
  <c r="AM15" i="10"/>
  <c r="AB16" i="10"/>
  <c r="AJ16" i="10"/>
  <c r="AR16" i="10"/>
  <c r="AT41" i="10"/>
  <c r="AD41" i="10"/>
  <c r="AS16" i="10"/>
  <c r="AQ16" i="10"/>
  <c r="AO16" i="10"/>
  <c r="AM16" i="10"/>
  <c r="AK16" i="10"/>
  <c r="AI16" i="10"/>
  <c r="AG16" i="10"/>
  <c r="AE16" i="10"/>
  <c r="AC16" i="10"/>
  <c r="AA16" i="10"/>
  <c r="AT15" i="10"/>
  <c r="AR15" i="10"/>
  <c r="AP15" i="10"/>
  <c r="AN15" i="10"/>
  <c r="AL15" i="10"/>
  <c r="AJ15" i="10"/>
  <c r="AH15" i="10"/>
  <c r="AF15" i="10"/>
  <c r="AD15" i="10"/>
  <c r="R57" i="10" l="1"/>
  <c r="J55" i="10"/>
  <c r="F52" i="10"/>
  <c r="P59" i="10"/>
  <c r="AL45" i="10"/>
  <c r="R53" i="10"/>
  <c r="V56" i="10"/>
  <c r="J51" i="10"/>
  <c r="V52" i="10"/>
  <c r="F56" i="10"/>
  <c r="AL41" i="10"/>
  <c r="AD44" i="10"/>
  <c r="AN42" i="10"/>
  <c r="D51" i="10"/>
  <c r="H55" i="10"/>
  <c r="R56" i="10"/>
  <c r="N53" i="10"/>
  <c r="AP41" i="10"/>
  <c r="AJ41" i="10"/>
  <c r="AB41" i="10"/>
  <c r="AR41" i="10"/>
  <c r="V51" i="10"/>
  <c r="F55" i="10"/>
  <c r="H59" i="10"/>
  <c r="AP43" i="10"/>
  <c r="AJ42" i="10"/>
  <c r="F51" i="10"/>
  <c r="J54" i="10"/>
  <c r="V55" i="10"/>
  <c r="N57" i="10"/>
  <c r="AH41" i="10"/>
  <c r="AF41" i="10"/>
  <c r="AN41" i="10"/>
  <c r="AF47" i="10"/>
  <c r="AJ44" i="10"/>
  <c r="P52" i="10"/>
  <c r="H52" i="10"/>
  <c r="AR42" i="10"/>
  <c r="AR48" i="10"/>
  <c r="H54" i="10"/>
  <c r="AB48" i="10"/>
  <c r="P54" i="10"/>
  <c r="AB44" i="10"/>
  <c r="AJ48" i="10"/>
  <c r="AN47" i="10"/>
  <c r="AR46" i="10"/>
  <c r="AJ46" i="10"/>
  <c r="AB46" i="10"/>
  <c r="AR44" i="10"/>
  <c r="AI49" i="10"/>
  <c r="AN46" i="10"/>
  <c r="AJ45" i="10"/>
  <c r="D54" i="10"/>
  <c r="AR43" i="10"/>
  <c r="L52" i="10"/>
  <c r="CH29" i="10"/>
  <c r="D58" i="10"/>
  <c r="AN48" i="10"/>
  <c r="H57" i="10"/>
  <c r="AR47" i="10"/>
  <c r="L56" i="10"/>
  <c r="AB47" i="10"/>
  <c r="AL46" i="10"/>
  <c r="T54" i="10"/>
  <c r="P53" i="10"/>
  <c r="AF44" i="10"/>
  <c r="AB43" i="10"/>
  <c r="AL42" i="10"/>
  <c r="AF42" i="10"/>
  <c r="CD28" i="10"/>
  <c r="J52" i="10"/>
  <c r="V53" i="10"/>
  <c r="R54" i="10"/>
  <c r="J56" i="10"/>
  <c r="F57" i="10"/>
  <c r="CP56" i="10"/>
  <c r="CB27" i="10"/>
  <c r="AB18" i="10"/>
  <c r="CL56" i="10"/>
  <c r="CT31" i="10"/>
  <c r="CP51" i="10"/>
  <c r="CP33" i="10"/>
  <c r="CD56" i="10"/>
  <c r="CD31" i="10"/>
  <c r="CD54" i="10"/>
  <c r="CH33" i="10"/>
  <c r="CL31" i="10"/>
  <c r="CT54" i="10"/>
  <c r="CP53" i="10"/>
  <c r="CT51" i="10"/>
  <c r="CL51" i="10"/>
  <c r="CH28" i="10"/>
  <c r="CF32" i="10"/>
  <c r="CR51" i="10"/>
  <c r="CT33" i="10"/>
  <c r="CL33" i="10"/>
  <c r="CD33" i="10"/>
  <c r="CT56" i="10"/>
  <c r="CP31" i="10"/>
  <c r="CI55" i="10"/>
  <c r="CP30" i="10"/>
  <c r="CH54" i="10"/>
  <c r="CT53" i="10"/>
  <c r="CL53" i="10"/>
  <c r="AU8" i="10"/>
  <c r="CT52" i="10"/>
  <c r="CO52" i="10"/>
  <c r="CL52" i="10"/>
  <c r="CH27" i="10"/>
  <c r="CD27" i="10"/>
  <c r="CQ52" i="10"/>
  <c r="CH31" i="10"/>
  <c r="CD29" i="10"/>
  <c r="CP52" i="10"/>
  <c r="CB33" i="10"/>
  <c r="CK32" i="10"/>
  <c r="CB55" i="10"/>
  <c r="CJ54" i="10"/>
  <c r="CJ29" i="10"/>
  <c r="CB53" i="10"/>
  <c r="CN51" i="10"/>
  <c r="CI51" i="10"/>
  <c r="CF52" i="10"/>
  <c r="CC27" i="10"/>
  <c r="CC58" i="10"/>
  <c r="CO57" i="10"/>
  <c r="CS32" i="10"/>
  <c r="CC32" i="10"/>
  <c r="CN31" i="10"/>
  <c r="CQ54" i="10"/>
  <c r="CI54" i="10"/>
  <c r="CJ52" i="10"/>
  <c r="CS58" i="10"/>
  <c r="CR57" i="10"/>
  <c r="CI33" i="10"/>
  <c r="CO32" i="10"/>
  <c r="CJ56" i="10"/>
  <c r="CG32" i="10"/>
  <c r="CR55" i="10"/>
  <c r="CK55" i="10"/>
  <c r="CB31" i="10"/>
  <c r="CM54" i="10"/>
  <c r="CF30" i="10"/>
  <c r="CR53" i="10"/>
  <c r="CO53" i="10"/>
  <c r="CJ53" i="10"/>
  <c r="CR52" i="10"/>
  <c r="CN52" i="10"/>
  <c r="CJ51" i="10"/>
  <c r="CG51" i="10"/>
  <c r="CB28" i="10"/>
  <c r="CM28" i="10"/>
  <c r="CE27" i="10"/>
  <c r="CE54" i="10"/>
  <c r="CQ55" i="10"/>
  <c r="CM29" i="10"/>
  <c r="CF51" i="10"/>
  <c r="CS27" i="10"/>
  <c r="AU14" i="10"/>
  <c r="CG57" i="10"/>
  <c r="CS33" i="10"/>
  <c r="CH56" i="10"/>
  <c r="CC55" i="10"/>
  <c r="CS55" i="10"/>
  <c r="CL30" i="10"/>
  <c r="CN59" i="10"/>
  <c r="CK58" i="10"/>
  <c r="CT57" i="10"/>
  <c r="CQ57" i="10"/>
  <c r="CM33" i="10"/>
  <c r="CH57" i="10"/>
  <c r="CE33" i="10"/>
  <c r="CT32" i="10"/>
  <c r="CP32" i="10"/>
  <c r="CL32" i="10"/>
  <c r="CH32" i="10"/>
  <c r="CD32" i="10"/>
  <c r="CT55" i="10"/>
  <c r="CO55" i="10"/>
  <c r="CM55" i="10"/>
  <c r="CG55" i="10"/>
  <c r="CE55" i="10"/>
  <c r="CT30" i="10"/>
  <c r="CP54" i="10"/>
  <c r="CL54" i="10"/>
  <c r="CH30" i="10"/>
  <c r="CD30" i="10"/>
  <c r="CS53" i="10"/>
  <c r="CQ29" i="10"/>
  <c r="CL29" i="10"/>
  <c r="CG53" i="10"/>
  <c r="CD53" i="10"/>
  <c r="CT28" i="10"/>
  <c r="CO51" i="10"/>
  <c r="CK27" i="10"/>
  <c r="CH52" i="10"/>
  <c r="CD52" i="10"/>
  <c r="CI53" i="10"/>
  <c r="CE28" i="10"/>
  <c r="CI52" i="10"/>
  <c r="CM27" i="10"/>
  <c r="CQ51" i="10"/>
  <c r="CP57" i="10"/>
  <c r="CL57" i="10"/>
  <c r="CD57" i="10"/>
  <c r="AU11" i="10"/>
  <c r="CQ32" i="10"/>
  <c r="CM32" i="10"/>
  <c r="CI32" i="10"/>
  <c r="CE32" i="10"/>
  <c r="CP55" i="10"/>
  <c r="CL55" i="10"/>
  <c r="CH55" i="10"/>
  <c r="CD55" i="10"/>
  <c r="CS54" i="10"/>
  <c r="CO54" i="10"/>
  <c r="CK54" i="10"/>
  <c r="CG54" i="10"/>
  <c r="CC54" i="10"/>
  <c r="CT29" i="10"/>
  <c r="CP29" i="10"/>
  <c r="CH53" i="10"/>
  <c r="AU7" i="10"/>
  <c r="CK57" i="10"/>
  <c r="CC57" i="10"/>
  <c r="CT27" i="10"/>
  <c r="CP27" i="10"/>
  <c r="CP28" i="10"/>
  <c r="CL27" i="10"/>
  <c r="CL28" i="10"/>
  <c r="CG52" i="10"/>
  <c r="CH51" i="10"/>
  <c r="CD51" i="10"/>
  <c r="AD49" i="10"/>
  <c r="F58" i="10"/>
  <c r="CJ34" i="10"/>
  <c r="AH49" i="10"/>
  <c r="J58" i="10"/>
  <c r="AL49" i="10"/>
  <c r="N58" i="10"/>
  <c r="AP49" i="10"/>
  <c r="R58" i="10"/>
  <c r="AT49" i="10"/>
  <c r="V58" i="10"/>
  <c r="AC18" i="10"/>
  <c r="E59" i="10"/>
  <c r="AC50" i="10"/>
  <c r="AG18" i="10"/>
  <c r="I59" i="10"/>
  <c r="AG50" i="10"/>
  <c r="AK18" i="10"/>
  <c r="M59" i="10"/>
  <c r="AK50" i="10"/>
  <c r="AO18" i="10"/>
  <c r="Q59" i="10"/>
  <c r="AO50" i="10"/>
  <c r="AS18" i="10"/>
  <c r="U59" i="10"/>
  <c r="AS50" i="10"/>
  <c r="T59" i="10"/>
  <c r="AR50" i="10"/>
  <c r="D59" i="10"/>
  <c r="AB50" i="10"/>
  <c r="G58" i="10"/>
  <c r="AE49" i="10"/>
  <c r="S57" i="10"/>
  <c r="AQ48" i="10"/>
  <c r="O57" i="10"/>
  <c r="AM48" i="10"/>
  <c r="K57" i="10"/>
  <c r="AI48" i="10"/>
  <c r="G57" i="10"/>
  <c r="AE48" i="10"/>
  <c r="C57" i="10"/>
  <c r="AA48" i="10"/>
  <c r="S56" i="10"/>
  <c r="AQ47" i="10"/>
  <c r="O56" i="10"/>
  <c r="AM47" i="10"/>
  <c r="K56" i="10"/>
  <c r="AI47" i="10"/>
  <c r="G56" i="10"/>
  <c r="AE47" i="10"/>
  <c r="C56" i="10"/>
  <c r="AA47" i="10"/>
  <c r="S55" i="10"/>
  <c r="AQ46" i="10"/>
  <c r="CN33" i="10"/>
  <c r="O55" i="10"/>
  <c r="AM46" i="10"/>
  <c r="CJ57" i="10"/>
  <c r="K55" i="10"/>
  <c r="AI46" i="10"/>
  <c r="CF33" i="10"/>
  <c r="G55" i="10"/>
  <c r="AE46" i="10"/>
  <c r="CB57" i="10"/>
  <c r="C55" i="10"/>
  <c r="AA46" i="10"/>
  <c r="S54" i="10"/>
  <c r="AQ45" i="10"/>
  <c r="O54" i="10"/>
  <c r="AM45" i="10"/>
  <c r="K54" i="10"/>
  <c r="AI45" i="10"/>
  <c r="G54" i="10"/>
  <c r="AE45" i="10"/>
  <c r="C54" i="10"/>
  <c r="AA45" i="10"/>
  <c r="S53" i="10"/>
  <c r="AQ44" i="10"/>
  <c r="O53" i="10"/>
  <c r="AM44" i="10"/>
  <c r="K53" i="10"/>
  <c r="AI44" i="10"/>
  <c r="G53" i="10"/>
  <c r="AE44" i="10"/>
  <c r="C53" i="10"/>
  <c r="AA44" i="10"/>
  <c r="S52" i="10"/>
  <c r="AQ43" i="10"/>
  <c r="O52" i="10"/>
  <c r="AM43" i="10"/>
  <c r="K52" i="10"/>
  <c r="AI43" i="10"/>
  <c r="G52" i="10"/>
  <c r="AE43" i="10"/>
  <c r="CB54" i="10"/>
  <c r="C52" i="10"/>
  <c r="AA43" i="10"/>
  <c r="S51" i="10"/>
  <c r="AQ42" i="10"/>
  <c r="O51" i="10"/>
  <c r="AM42" i="10"/>
  <c r="CK29" i="10"/>
  <c r="K51" i="10"/>
  <c r="AI42" i="10"/>
  <c r="CG29" i="10"/>
  <c r="G51" i="10"/>
  <c r="AE42" i="10"/>
  <c r="CC53" i="10"/>
  <c r="C51" i="10"/>
  <c r="AA42" i="10"/>
  <c r="CS28" i="10"/>
  <c r="S50" i="10"/>
  <c r="AQ41" i="10"/>
  <c r="CO28" i="10"/>
  <c r="O50" i="10"/>
  <c r="AM41" i="10"/>
  <c r="CK28" i="10"/>
  <c r="K50" i="10"/>
  <c r="AI41" i="10"/>
  <c r="CG28" i="10"/>
  <c r="G50" i="10"/>
  <c r="AE41" i="10"/>
  <c r="CC28" i="10"/>
  <c r="C50" i="10"/>
  <c r="AA41" i="10"/>
  <c r="C58" i="10"/>
  <c r="AA49" i="10"/>
  <c r="I58" i="10"/>
  <c r="AG49" i="10"/>
  <c r="Q58" i="10"/>
  <c r="AO49" i="10"/>
  <c r="AD50" i="10"/>
  <c r="F59" i="10"/>
  <c r="N59" i="10"/>
  <c r="AL50" i="10"/>
  <c r="V59" i="10"/>
  <c r="AT50" i="10"/>
  <c r="CB35" i="10"/>
  <c r="CB34" i="10"/>
  <c r="CB32" i="10"/>
  <c r="CB30" i="10"/>
  <c r="CB29" i="10"/>
  <c r="CE53" i="10"/>
  <c r="CQ28" i="10"/>
  <c r="CI28" i="10"/>
  <c r="CM52" i="10"/>
  <c r="CE52" i="10"/>
  <c r="CQ27" i="10"/>
  <c r="CI27" i="10"/>
  <c r="CM51" i="10"/>
  <c r="CE51" i="10"/>
  <c r="H58" i="10"/>
  <c r="AF49" i="10"/>
  <c r="L58" i="10"/>
  <c r="AJ49" i="10"/>
  <c r="P58" i="10"/>
  <c r="AN49" i="10"/>
  <c r="T58" i="10"/>
  <c r="AR49" i="10"/>
  <c r="C59" i="10"/>
  <c r="AA50" i="10"/>
  <c r="AE18" i="10"/>
  <c r="G59" i="10"/>
  <c r="AE50" i="10"/>
  <c r="AI18" i="10"/>
  <c r="K59" i="10"/>
  <c r="AI50" i="10"/>
  <c r="AM18" i="10"/>
  <c r="O59" i="10"/>
  <c r="AM50" i="10"/>
  <c r="AQ18" i="10"/>
  <c r="S59" i="10"/>
  <c r="AQ50" i="10"/>
  <c r="AU13" i="10"/>
  <c r="CO58" i="10"/>
  <c r="CG58" i="10"/>
  <c r="CC34" i="10"/>
  <c r="CS56" i="10"/>
  <c r="CQ56" i="10"/>
  <c r="CO56" i="10"/>
  <c r="CM56" i="10"/>
  <c r="CK56" i="10"/>
  <c r="CI56" i="10"/>
  <c r="CG56" i="10"/>
  <c r="CE56" i="10"/>
  <c r="CC56" i="10"/>
  <c r="AU9" i="10"/>
  <c r="CS30" i="10"/>
  <c r="CQ30" i="10"/>
  <c r="CO30" i="10"/>
  <c r="CM30" i="10"/>
  <c r="CK30" i="10"/>
  <c r="CI30" i="10"/>
  <c r="CG30" i="10"/>
  <c r="CE30" i="10"/>
  <c r="CC30" i="10"/>
  <c r="CF53" i="10"/>
  <c r="CB51" i="10"/>
  <c r="CB52" i="10"/>
  <c r="AB17" i="10"/>
  <c r="AU12" i="10"/>
  <c r="CQ33" i="10"/>
  <c r="CO33" i="10"/>
  <c r="CK33" i="10"/>
  <c r="CG33" i="10"/>
  <c r="CC33" i="10"/>
  <c r="CQ31" i="10"/>
  <c r="CM31" i="10"/>
  <c r="CI31" i="10"/>
  <c r="CE31" i="10"/>
  <c r="CQ53" i="10"/>
  <c r="CM53" i="10"/>
  <c r="CI29" i="10"/>
  <c r="CC29" i="10"/>
  <c r="CJ27" i="10"/>
  <c r="CJ28" i="10"/>
  <c r="CF27" i="10"/>
  <c r="CF28" i="10"/>
  <c r="CN32" i="10"/>
  <c r="CR56" i="10"/>
  <c r="CB56" i="10"/>
  <c r="CF31" i="10"/>
  <c r="CJ55" i="10"/>
  <c r="CN30" i="10"/>
  <c r="CR54" i="10"/>
  <c r="CN29" i="10"/>
  <c r="CK53" i="10"/>
  <c r="CS52" i="10"/>
  <c r="CK52" i="10"/>
  <c r="CC52" i="10"/>
  <c r="CO27" i="10"/>
  <c r="CG27" i="10"/>
  <c r="CS51" i="10"/>
  <c r="CK51" i="10"/>
  <c r="CC51" i="10"/>
  <c r="CS57" i="10"/>
  <c r="CM57" i="10"/>
  <c r="CI57" i="10"/>
  <c r="CE57" i="10"/>
  <c r="AU10" i="10"/>
  <c r="CS31" i="10"/>
  <c r="CO31" i="10"/>
  <c r="CK31" i="10"/>
  <c r="CG31" i="10"/>
  <c r="CC31" i="10"/>
  <c r="CS29" i="10"/>
  <c r="CO29" i="10"/>
  <c r="CR27" i="10"/>
  <c r="CR28" i="10"/>
  <c r="CN27" i="10"/>
  <c r="CN28" i="10"/>
  <c r="L59" i="10"/>
  <c r="AJ50" i="10"/>
  <c r="O58" i="10"/>
  <c r="AM49" i="10"/>
  <c r="AT48" i="10"/>
  <c r="V57" i="10"/>
  <c r="Q57" i="10"/>
  <c r="AO48" i="10"/>
  <c r="M57" i="10"/>
  <c r="AK48" i="10"/>
  <c r="I57" i="10"/>
  <c r="AG48" i="10"/>
  <c r="E57" i="10"/>
  <c r="AC48" i="10"/>
  <c r="U56" i="10"/>
  <c r="AS47" i="10"/>
  <c r="Q56" i="10"/>
  <c r="AO47" i="10"/>
  <c r="M56" i="10"/>
  <c r="AK47" i="10"/>
  <c r="I56" i="10"/>
  <c r="AG47" i="10"/>
  <c r="E56" i="10"/>
  <c r="AC47" i="10"/>
  <c r="U55" i="10"/>
  <c r="AS46" i="10"/>
  <c r="Q55" i="10"/>
  <c r="AO46" i="10"/>
  <c r="M55" i="10"/>
  <c r="AK46" i="10"/>
  <c r="I55" i="10"/>
  <c r="AG46" i="10"/>
  <c r="E55" i="10"/>
  <c r="AC46" i="10"/>
  <c r="U54" i="10"/>
  <c r="AS45" i="10"/>
  <c r="Q54" i="10"/>
  <c r="AO45" i="10"/>
  <c r="M54" i="10"/>
  <c r="AK45" i="10"/>
  <c r="I54" i="10"/>
  <c r="AG45" i="10"/>
  <c r="E54" i="10"/>
  <c r="AC45" i="10"/>
  <c r="U53" i="10"/>
  <c r="AS44" i="10"/>
  <c r="Q53" i="10"/>
  <c r="AO44" i="10"/>
  <c r="M53" i="10"/>
  <c r="AK44" i="10"/>
  <c r="I53" i="10"/>
  <c r="AG44" i="10"/>
  <c r="E53" i="10"/>
  <c r="AC44" i="10"/>
  <c r="U52" i="10"/>
  <c r="AS43" i="10"/>
  <c r="Q52" i="10"/>
  <c r="AO43" i="10"/>
  <c r="M52" i="10"/>
  <c r="AK43" i="10"/>
  <c r="I52" i="10"/>
  <c r="AG43" i="10"/>
  <c r="E52" i="10"/>
  <c r="AC43" i="10"/>
  <c r="U51" i="10"/>
  <c r="AS42" i="10"/>
  <c r="Q51" i="10"/>
  <c r="AO42" i="10"/>
  <c r="M51" i="10"/>
  <c r="AK42" i="10"/>
  <c r="I51" i="10"/>
  <c r="AG42" i="10"/>
  <c r="CE29" i="10"/>
  <c r="E51" i="10"/>
  <c r="AC42" i="10"/>
  <c r="U50" i="10"/>
  <c r="AS41" i="10"/>
  <c r="Q50" i="10"/>
  <c r="AO41" i="10"/>
  <c r="M50" i="10"/>
  <c r="AK41" i="10"/>
  <c r="I50" i="10"/>
  <c r="AG41" i="10"/>
  <c r="E50" i="10"/>
  <c r="AC41" i="10"/>
  <c r="U57" i="10"/>
  <c r="AS48" i="10"/>
  <c r="E58" i="10"/>
  <c r="AC49" i="10"/>
  <c r="M58" i="10"/>
  <c r="AK49" i="10"/>
  <c r="U58" i="10"/>
  <c r="AS49" i="10"/>
  <c r="AH50" i="10"/>
  <c r="J59" i="10"/>
  <c r="R59" i="10"/>
  <c r="AP50" i="10"/>
  <c r="CB58" i="10"/>
  <c r="CR33" i="10"/>
  <c r="CN57" i="10"/>
  <c r="CJ33" i="10"/>
  <c r="CF57" i="10"/>
  <c r="CR32" i="10"/>
  <c r="CN56" i="10"/>
  <c r="CJ32" i="10"/>
  <c r="CF56" i="10"/>
  <c r="CR31" i="10"/>
  <c r="CN55" i="10"/>
  <c r="CJ31" i="10"/>
  <c r="CF55" i="10"/>
  <c r="CR30" i="10"/>
  <c r="CN54" i="10"/>
  <c r="CJ30" i="10"/>
  <c r="CF54" i="10"/>
  <c r="CR29" i="10"/>
  <c r="CN53" i="10"/>
  <c r="CF29" i="10"/>
  <c r="AD18" i="10"/>
  <c r="AH17" i="10"/>
  <c r="CT35" i="10"/>
  <c r="CL59" i="10"/>
  <c r="CJ35" i="10"/>
  <c r="CD35" i="10"/>
  <c r="AU16" i="10"/>
  <c r="AP18" i="10"/>
  <c r="AH18" i="10"/>
  <c r="AT17" i="10"/>
  <c r="AL17" i="10"/>
  <c r="AD17" i="10"/>
  <c r="CT59" i="10"/>
  <c r="CR35" i="10"/>
  <c r="CP35" i="10"/>
  <c r="CL35" i="10"/>
  <c r="CH59" i="10"/>
  <c r="CD59" i="10"/>
  <c r="CS34" i="10"/>
  <c r="CQ34" i="10"/>
  <c r="CO34" i="10"/>
  <c r="CM34" i="10"/>
  <c r="CK34" i="10"/>
  <c r="CI34" i="10"/>
  <c r="CG34" i="10"/>
  <c r="CE34" i="10"/>
  <c r="AS17" i="10"/>
  <c r="AQ17" i="10"/>
  <c r="AO17" i="10"/>
  <c r="AM17" i="10"/>
  <c r="AK17" i="10"/>
  <c r="AI17" i="10"/>
  <c r="AG17" i="10"/>
  <c r="AE17" i="10"/>
  <c r="AC17" i="10"/>
  <c r="AA17" i="10"/>
  <c r="AN17" i="10"/>
  <c r="CQ35" i="10"/>
  <c r="CO35" i="10"/>
  <c r="CK35" i="10"/>
  <c r="CI35" i="10"/>
  <c r="CE35" i="10"/>
  <c r="CD34" i="10"/>
  <c r="CR59" i="10"/>
  <c r="CN34" i="10"/>
  <c r="CR58" i="10"/>
  <c r="AF18" i="10"/>
  <c r="AR17" i="10"/>
  <c r="CS59" i="10"/>
  <c r="CM59" i="10"/>
  <c r="CG59" i="10"/>
  <c r="CC59" i="10"/>
  <c r="CT58" i="10"/>
  <c r="CP58" i="10"/>
  <c r="CL58" i="10"/>
  <c r="CH58" i="10"/>
  <c r="CN35" i="10"/>
  <c r="CR34" i="10"/>
  <c r="AT18" i="10"/>
  <c r="AN18" i="10"/>
  <c r="AL18" i="10"/>
  <c r="AP17" i="10"/>
  <c r="CP59" i="10"/>
  <c r="CH35" i="10"/>
  <c r="CQ58" i="10"/>
  <c r="CM58" i="10"/>
  <c r="CI58" i="10"/>
  <c r="CE58" i="10"/>
  <c r="AA18" i="10"/>
  <c r="AF17" i="10"/>
  <c r="AU15" i="10"/>
  <c r="CQ59" i="10"/>
  <c r="CO59" i="10"/>
  <c r="CK59" i="10"/>
  <c r="CI59" i="10"/>
  <c r="CE59" i="10"/>
  <c r="CD58" i="10"/>
  <c r="CF35" i="10"/>
  <c r="CB59" i="10"/>
  <c r="CF34" i="10"/>
  <c r="CJ58" i="10"/>
  <c r="AJ17" i="10"/>
  <c r="CS35" i="10"/>
  <c r="CM35" i="10"/>
  <c r="CG35" i="10"/>
  <c r="CC35" i="10"/>
  <c r="CT34" i="10"/>
  <c r="CP34" i="10"/>
  <c r="CL34" i="10"/>
  <c r="CH34" i="10"/>
  <c r="CJ59" i="10"/>
  <c r="CF59" i="10"/>
  <c r="CN58" i="10"/>
  <c r="CF58" i="10"/>
  <c r="AR18" i="10"/>
  <c r="AJ18" i="10"/>
  <c r="CP42" i="10" l="1"/>
  <c r="CM43" i="10"/>
  <c r="CC44" i="10"/>
  <c r="CG40" i="10"/>
  <c r="CG43" i="10"/>
  <c r="CO43" i="10"/>
  <c r="CU30" i="10"/>
  <c r="CM42" i="10"/>
  <c r="CF43" i="10"/>
  <c r="CI40" i="10"/>
  <c r="CN40" i="10"/>
  <c r="CP39" i="10"/>
  <c r="CH44" i="10"/>
  <c r="CJ44" i="10"/>
  <c r="CR44" i="10"/>
  <c r="CG39" i="10"/>
  <c r="CE41" i="10"/>
  <c r="CE42" i="10"/>
  <c r="CD36" i="10"/>
  <c r="CH43" i="10"/>
  <c r="CM39" i="10"/>
  <c r="CD40" i="10"/>
  <c r="CJ39" i="10"/>
  <c r="CS39" i="10"/>
  <c r="CG36" i="10"/>
  <c r="CM60" i="10"/>
  <c r="CH46" i="10"/>
  <c r="CP46" i="10"/>
  <c r="CH42" i="10"/>
  <c r="CU55" i="10"/>
  <c r="CR40" i="10"/>
  <c r="CN43" i="10"/>
  <c r="CF39" i="10"/>
  <c r="CP43" i="10"/>
  <c r="CG44" i="10"/>
  <c r="CL41" i="10"/>
  <c r="CD39" i="10"/>
  <c r="CL40" i="10"/>
  <c r="CP60" i="10"/>
  <c r="CE36" i="10"/>
  <c r="CI60" i="10"/>
  <c r="CM36" i="10"/>
  <c r="CQ36" i="10"/>
  <c r="CS36" i="10"/>
  <c r="CN41" i="10"/>
  <c r="CJ42" i="10"/>
  <c r="CR42" i="10"/>
  <c r="CI41" i="10"/>
  <c r="CI42" i="10"/>
  <c r="CQ42" i="10"/>
  <c r="CU54" i="10"/>
  <c r="CI39" i="10"/>
  <c r="CG41" i="10"/>
  <c r="CL39" i="10"/>
  <c r="CS41" i="10"/>
  <c r="CE43" i="10"/>
  <c r="CL44" i="10"/>
  <c r="CO44" i="10"/>
  <c r="CH39" i="10"/>
  <c r="CC43" i="10"/>
  <c r="AH55" i="10"/>
  <c r="CS40" i="10"/>
  <c r="CF44" i="10"/>
  <c r="CN44" i="10"/>
  <c r="CF45" i="10"/>
  <c r="CK41" i="10"/>
  <c r="CM45" i="10"/>
  <c r="CH60" i="10"/>
  <c r="CC36" i="10"/>
  <c r="CK40" i="10"/>
  <c r="CH40" i="10"/>
  <c r="CT60" i="10"/>
  <c r="CC39" i="10"/>
  <c r="CM41" i="10"/>
  <c r="CD60" i="10"/>
  <c r="CB42" i="10"/>
  <c r="CF41" i="10"/>
  <c r="CQ41" i="10"/>
  <c r="CI43" i="10"/>
  <c r="CR43" i="10"/>
  <c r="CK43" i="10"/>
  <c r="CS43" i="10"/>
  <c r="CJ45" i="10"/>
  <c r="CS44" i="10"/>
  <c r="CD41" i="10"/>
  <c r="CN39" i="10"/>
  <c r="CR39" i="10"/>
  <c r="CU31" i="10"/>
  <c r="CO40" i="10"/>
  <c r="CN42" i="10"/>
  <c r="CE40" i="10"/>
  <c r="CJ40" i="10"/>
  <c r="CB41" i="10"/>
  <c r="CD43" i="10"/>
  <c r="CL42" i="10"/>
  <c r="CB45" i="10"/>
  <c r="CK44" i="10"/>
  <c r="CP44" i="10"/>
  <c r="CB60" i="10"/>
  <c r="CC42" i="10"/>
  <c r="CG42" i="10"/>
  <c r="CK42" i="10"/>
  <c r="CO42" i="10"/>
  <c r="CS42" i="10"/>
  <c r="CU56" i="10"/>
  <c r="CQ39" i="10"/>
  <c r="CJ41" i="10"/>
  <c r="CU51" i="10"/>
  <c r="CU27" i="10"/>
  <c r="CC46" i="10"/>
  <c r="CH45" i="10"/>
  <c r="CP45" i="10"/>
  <c r="CF36" i="10"/>
  <c r="CB39" i="10"/>
  <c r="CE44" i="10"/>
  <c r="CI44" i="10"/>
  <c r="CM44" i="10"/>
  <c r="CQ44" i="10"/>
  <c r="CM40" i="10"/>
  <c r="CB43" i="10"/>
  <c r="CJ43" i="10"/>
  <c r="CD44" i="10"/>
  <c r="CE45" i="10"/>
  <c r="CS45" i="10"/>
  <c r="CL60" i="10"/>
  <c r="CO39" i="10"/>
  <c r="CD42" i="10"/>
  <c r="CQ43" i="10"/>
  <c r="CC45" i="10"/>
  <c r="CO36" i="10"/>
  <c r="CU34" i="10"/>
  <c r="CB40" i="10"/>
  <c r="CH41" i="10"/>
  <c r="CL43" i="10"/>
  <c r="CU32" i="10"/>
  <c r="CE60" i="10"/>
  <c r="CR60" i="10"/>
  <c r="CE39" i="10"/>
  <c r="CR41" i="10"/>
  <c r="CC40" i="10"/>
  <c r="CO41" i="10"/>
  <c r="CK39" i="10"/>
  <c r="CF42" i="10"/>
  <c r="CF40" i="10"/>
  <c r="CP40" i="10"/>
  <c r="CC41" i="10"/>
  <c r="CU57" i="10"/>
  <c r="CO60" i="10"/>
  <c r="CB36" i="10"/>
  <c r="CP41" i="10"/>
  <c r="CN36" i="10"/>
  <c r="CB44" i="10"/>
  <c r="CU33" i="10"/>
  <c r="CU53" i="10"/>
  <c r="CU28" i="10"/>
  <c r="CU52" i="10"/>
  <c r="CQ40" i="10"/>
  <c r="CU29" i="10"/>
  <c r="CI45" i="10"/>
  <c r="CL46" i="10"/>
  <c r="CF46" i="10"/>
  <c r="CK45" i="10"/>
  <c r="CQ45" i="10"/>
  <c r="CK36" i="10"/>
  <c r="CU58" i="10"/>
  <c r="CU60" i="10"/>
  <c r="CJ36" i="10"/>
  <c r="CG60" i="10"/>
  <c r="CN46" i="10"/>
  <c r="CK60" i="10"/>
  <c r="CS60" i="10"/>
  <c r="CG46" i="10"/>
  <c r="CK46" i="10"/>
  <c r="CO46" i="10"/>
  <c r="CS46" i="10"/>
  <c r="CU36" i="10"/>
  <c r="CT36" i="10"/>
  <c r="CP36" i="10"/>
  <c r="CL36" i="10"/>
  <c r="CH36" i="10"/>
  <c r="CQ60" i="10"/>
  <c r="CR36" i="10"/>
  <c r="CN60" i="10"/>
  <c r="CF60" i="10"/>
  <c r="CR45" i="10"/>
  <c r="CU35" i="10"/>
  <c r="CU59" i="10"/>
  <c r="CG45" i="10"/>
  <c r="CO45" i="10"/>
  <c r="CJ60" i="10"/>
  <c r="CR46" i="10"/>
  <c r="CD46" i="10"/>
  <c r="CD45" i="10"/>
  <c r="CL45" i="10"/>
  <c r="CE46" i="10"/>
  <c r="CI46" i="10"/>
  <c r="CM46" i="10"/>
  <c r="CQ46" i="10"/>
  <c r="CC60" i="10"/>
  <c r="CI36" i="10"/>
  <c r="CB46" i="10"/>
  <c r="CN45" i="10"/>
  <c r="CJ46" i="10"/>
  <c r="CC48" i="10" l="1"/>
  <c r="CT45" i="10"/>
  <c r="CU45" i="10"/>
  <c r="CB47" i="10"/>
  <c r="CI48" i="10"/>
  <c r="CM47" i="10"/>
  <c r="CE47" i="10"/>
  <c r="CR48" i="10"/>
  <c r="CU43" i="10"/>
  <c r="CO47" i="10"/>
  <c r="CF47" i="10"/>
  <c r="CP47" i="10"/>
  <c r="CF48" i="10"/>
  <c r="CU47" i="10"/>
  <c r="CL48" i="10"/>
  <c r="CT41" i="10"/>
  <c r="CN47" i="10"/>
  <c r="CC47" i="10"/>
  <c r="CU41" i="10"/>
  <c r="CD47" i="10"/>
  <c r="CR47" i="10"/>
  <c r="CD48" i="10"/>
  <c r="CB48" i="10"/>
  <c r="CN48" i="10"/>
  <c r="CS47" i="10"/>
  <c r="CE48" i="10"/>
  <c r="CL47" i="10"/>
  <c r="CO48" i="10"/>
  <c r="CG48" i="10"/>
  <c r="CP48" i="10"/>
  <c r="CU40" i="10"/>
  <c r="CT40" i="10"/>
  <c r="CT39" i="10"/>
  <c r="CU39" i="10"/>
  <c r="CU44" i="10"/>
  <c r="CT44" i="10"/>
  <c r="CT42" i="10"/>
  <c r="CU42" i="10"/>
  <c r="CT43" i="10"/>
  <c r="CI47" i="10"/>
  <c r="CJ47" i="10"/>
  <c r="CH48" i="10"/>
  <c r="CU48" i="10"/>
  <c r="CK47" i="10"/>
  <c r="CS48" i="10"/>
  <c r="CT46" i="10"/>
  <c r="CU46" i="10"/>
  <c r="CQ48" i="10"/>
  <c r="CH47" i="10"/>
  <c r="CT47" i="10"/>
  <c r="CT48" i="10"/>
  <c r="CQ47" i="10"/>
  <c r="CJ48" i="10"/>
  <c r="CK48" i="10"/>
  <c r="CG47" i="10"/>
  <c r="CM48" i="10"/>
</calcChain>
</file>

<file path=xl/sharedStrings.xml><?xml version="1.0" encoding="utf-8"?>
<sst xmlns="http://schemas.openxmlformats.org/spreadsheetml/2006/main" count="75" uniqueCount="39">
  <si>
    <t>AV</t>
  </si>
  <si>
    <t>SD</t>
  </si>
  <si>
    <t>F(-)</t>
  </si>
  <si>
    <t>F(+)</t>
  </si>
  <si>
    <t>M(-)</t>
  </si>
  <si>
    <t>M(+)</t>
  </si>
  <si>
    <t>(Pij*Qij)^2</t>
  </si>
  <si>
    <t>(Pij^2)</t>
  </si>
  <si>
    <t>(Qij^2)</t>
  </si>
  <si>
    <t>Normal</t>
  </si>
  <si>
    <t>Diabetic</t>
  </si>
  <si>
    <r>
      <t xml:space="preserve">Cite this as: Paul A. Gagniuc et al. </t>
    </r>
    <r>
      <rPr>
        <i/>
        <sz val="16"/>
        <color theme="1"/>
        <rFont val="Calibri"/>
        <family val="2"/>
        <scheme val="minor"/>
      </rPr>
      <t>Spectral forecast: A general purpose prediction model as an alternative to classical neural networks</t>
    </r>
    <r>
      <rPr>
        <sz val="16"/>
        <color theme="1"/>
        <rFont val="Calibri"/>
        <family val="2"/>
        <scheme val="minor"/>
      </rPr>
      <t xml:space="preserve">. </t>
    </r>
    <r>
      <rPr>
        <b/>
        <sz val="16"/>
        <color theme="1"/>
        <rFont val="Calibri"/>
        <family val="2"/>
        <scheme val="minor"/>
      </rPr>
      <t>Chaos</t>
    </r>
    <r>
      <rPr>
        <sz val="16"/>
        <color theme="1"/>
        <rFont val="Calibri"/>
        <family val="2"/>
        <scheme val="minor"/>
      </rPr>
      <t xml:space="preserve"> 30, 033119 (2020); doi: 10.1063/1.5120818</t>
    </r>
  </si>
  <si>
    <t>Similarity of index P matrix vs M matrix:</t>
  </si>
  <si>
    <t>Matrix P taken from the patient:</t>
  </si>
  <si>
    <t>Matrix A</t>
  </si>
  <si>
    <t>Matrix B</t>
  </si>
  <si>
    <t>Matrix M</t>
  </si>
  <si>
    <t>Distance d:</t>
  </si>
  <si>
    <t>MAX(B[i,j]):</t>
  </si>
  <si>
    <t>MAX(A[i,j]):</t>
  </si>
  <si>
    <t>Matrix M:</t>
  </si>
  <si>
    <t>Matrix P:</t>
  </si>
  <si>
    <t>List of  similarity values</t>
  </si>
  <si>
    <t>Female</t>
  </si>
  <si>
    <t>Male</t>
  </si>
  <si>
    <t>AVERAGE</t>
  </si>
  <si>
    <r>
      <t xml:space="preserve">Cite this as: Paul A. Gagniuc et al. </t>
    </r>
    <r>
      <rPr>
        <i/>
        <sz val="12"/>
        <color theme="1"/>
        <rFont val="Calibri"/>
        <family val="2"/>
        <scheme val="minor"/>
      </rPr>
      <t>Spectral forecast: A general purpose prediction model as an alternative to classical neural networks</t>
    </r>
    <r>
      <rPr>
        <sz val="12"/>
        <color theme="1"/>
        <rFont val="Calibri"/>
        <family val="2"/>
        <scheme val="minor"/>
      </rPr>
      <t xml:space="preserve">. </t>
    </r>
    <r>
      <rPr>
        <b/>
        <sz val="12"/>
        <color theme="1"/>
        <rFont val="Calibri"/>
        <family val="2"/>
        <scheme val="minor"/>
      </rPr>
      <t>Chaos</t>
    </r>
    <r>
      <rPr>
        <sz val="12"/>
        <color theme="1"/>
        <rFont val="Calibri"/>
        <family val="2"/>
        <scheme val="minor"/>
      </rPr>
      <t xml:space="preserve"> 30, 033119 (2020); doi: 10.1063/1.5120818</t>
    </r>
  </si>
  <si>
    <r>
      <t xml:space="preserve">Cite this as: Paul A. Gagniuc et al. </t>
    </r>
    <r>
      <rPr>
        <i/>
        <sz val="14"/>
        <color theme="1"/>
        <rFont val="Calibri"/>
        <family val="2"/>
        <scheme val="minor"/>
      </rPr>
      <t>Spectral forecast: A general purpose prediction model as an alternative to classical neural networks</t>
    </r>
    <r>
      <rPr>
        <sz val="14"/>
        <color theme="1"/>
        <rFont val="Calibri"/>
        <family val="2"/>
        <scheme val="minor"/>
      </rPr>
      <t xml:space="preserve">. </t>
    </r>
    <r>
      <rPr>
        <b/>
        <sz val="14"/>
        <color theme="1"/>
        <rFont val="Calibri"/>
        <family val="2"/>
        <scheme val="minor"/>
      </rPr>
      <t>Chaos</t>
    </r>
    <r>
      <rPr>
        <sz val="14"/>
        <color theme="1"/>
        <rFont val="Calibri"/>
        <family val="2"/>
        <scheme val="minor"/>
      </rPr>
      <t xml:space="preserve"> 30, 033119 (2020); doi: 10.1063/1.5120818</t>
    </r>
  </si>
  <si>
    <t>M(+) = Males predisposed to diabetes</t>
  </si>
  <si>
    <t>M(-) = Males without predisposition to diabetes</t>
  </si>
  <si>
    <t>F(-) = Females without predisposition to diabetes</t>
  </si>
  <si>
    <t>F(+) = Females predisposed to diabetes</t>
  </si>
  <si>
    <t>Legend:</t>
  </si>
  <si>
    <t>The predisposition group</t>
  </si>
  <si>
    <t>The group without predisposition</t>
  </si>
  <si>
    <t xml:space="preserve">             </t>
  </si>
  <si>
    <t>B[i,j]</t>
  </si>
  <si>
    <t>A[i,j]</t>
  </si>
  <si>
    <t>The spectral forecast equation: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</si>
</sst>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3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00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1">
    <xf numFmtId="0" fontId="0" fillId="0" borderId="0" xfId="0"/>
    <xf numFmtId="0" fontId="0" fillId="0" borderId="1" xfId="0" applyBorder="1"/>
    <xf numFmtId="0" fontId="0" fillId="0" borderId="0" xfId="0" applyFill="1" applyBorder="1"/>
    <xf numFmtId="0" fontId="2" fillId="0" borderId="4" xfId="0" applyFont="1" applyBorder="1"/>
    <xf numFmtId="0" fontId="2" fillId="0" borderId="0" xfId="0" applyFont="1" applyBorder="1"/>
    <xf numFmtId="0" fontId="2" fillId="0" borderId="6" xfId="0" applyFont="1" applyBorder="1"/>
    <xf numFmtId="0" fontId="3" fillId="3" borderId="2" xfId="0" applyFont="1" applyFill="1" applyBorder="1"/>
    <xf numFmtId="0" fontId="3" fillId="3" borderId="8" xfId="0" applyFont="1" applyFill="1" applyBorder="1"/>
    <xf numFmtId="0" fontId="6" fillId="0" borderId="0" xfId="0" applyFont="1" applyFill="1" applyBorder="1" applyAlignment="1">
      <alignment vertical="center"/>
    </xf>
    <xf numFmtId="0" fontId="2" fillId="0" borderId="7" xfId="0" applyFont="1" applyBorder="1"/>
    <xf numFmtId="164" fontId="2" fillId="0" borderId="0" xfId="0" applyNumberFormat="1" applyFont="1" applyBorder="1"/>
    <xf numFmtId="0" fontId="0" fillId="0" borderId="0" xfId="0" applyFill="1" applyBorder="1" applyAlignment="1">
      <alignment horizontal="center" vertical="center"/>
    </xf>
    <xf numFmtId="0" fontId="1" fillId="0" borderId="0" xfId="0" applyFont="1" applyFill="1" applyBorder="1"/>
    <xf numFmtId="0" fontId="0" fillId="0" borderId="0" xfId="0" applyFill="1" applyBorder="1" applyAlignment="1"/>
    <xf numFmtId="0" fontId="2" fillId="0" borderId="0" xfId="0" applyFont="1"/>
    <xf numFmtId="164" fontId="2" fillId="0" borderId="18" xfId="0" applyNumberFormat="1" applyFont="1" applyBorder="1"/>
    <xf numFmtId="164" fontId="2" fillId="0" borderId="13" xfId="0" applyNumberFormat="1" applyFont="1" applyBorder="1"/>
    <xf numFmtId="164" fontId="2" fillId="0" borderId="19" xfId="0" applyNumberFormat="1" applyFont="1" applyBorder="1"/>
    <xf numFmtId="164" fontId="2" fillId="0" borderId="14" xfId="0" applyNumberFormat="1" applyFont="1" applyBorder="1"/>
    <xf numFmtId="164" fontId="2" fillId="0" borderId="20" xfId="0" applyNumberFormat="1" applyFont="1" applyBorder="1"/>
    <xf numFmtId="164" fontId="2" fillId="0" borderId="21" xfId="0" applyNumberFormat="1" applyFont="1" applyBorder="1"/>
    <xf numFmtId="164" fontId="2" fillId="0" borderId="22" xfId="0" applyNumberFormat="1" applyFont="1" applyBorder="1"/>
    <xf numFmtId="164" fontId="2" fillId="0" borderId="23" xfId="0" applyNumberFormat="1" applyFont="1" applyBorder="1"/>
    <xf numFmtId="0" fontId="2" fillId="0" borderId="18" xfId="0" applyFont="1" applyBorder="1"/>
    <xf numFmtId="0" fontId="2" fillId="0" borderId="13" xfId="0" applyFont="1" applyBorder="1"/>
    <xf numFmtId="0" fontId="2" fillId="0" borderId="19" xfId="0" applyFont="1" applyBorder="1"/>
    <xf numFmtId="0" fontId="2" fillId="0" borderId="14" xfId="0" applyFont="1" applyBorder="1"/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11" fillId="0" borderId="18" xfId="0" applyFont="1" applyBorder="1"/>
    <xf numFmtId="0" fontId="11" fillId="0" borderId="13" xfId="0" applyFont="1" applyBorder="1"/>
    <xf numFmtId="0" fontId="11" fillId="0" borderId="19" xfId="0" applyFont="1" applyBorder="1"/>
    <xf numFmtId="0" fontId="11" fillId="0" borderId="14" xfId="0" applyFont="1" applyBorder="1"/>
    <xf numFmtId="0" fontId="11" fillId="0" borderId="0" xfId="0" applyFont="1" applyBorder="1"/>
    <xf numFmtId="0" fontId="11" fillId="0" borderId="20" xfId="0" applyFont="1" applyBorder="1"/>
    <xf numFmtId="0" fontId="11" fillId="0" borderId="21" xfId="0" applyFont="1" applyBorder="1"/>
    <xf numFmtId="0" fontId="11" fillId="0" borderId="22" xfId="0" applyFont="1" applyBorder="1"/>
    <xf numFmtId="0" fontId="11" fillId="0" borderId="23" xfId="0" applyFont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1" xfId="0" applyFill="1" applyBorder="1"/>
    <xf numFmtId="0" fontId="0" fillId="6" borderId="12" xfId="0" applyFill="1" applyBorder="1"/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2" borderId="0" xfId="0" applyFill="1"/>
    <xf numFmtId="0" fontId="3" fillId="0" borderId="0" xfId="0" applyFont="1" applyFill="1" applyBorder="1"/>
    <xf numFmtId="0" fontId="0" fillId="0" borderId="0" xfId="0" applyFill="1" applyBorder="1" applyAlignment="1">
      <alignment horizontal="center" vertical="center"/>
    </xf>
    <xf numFmtId="0" fontId="2" fillId="0" borderId="0" xfId="0" applyFont="1" applyFill="1" applyBorder="1"/>
    <xf numFmtId="0" fontId="0" fillId="0" borderId="0" xfId="0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164" fontId="2" fillId="0" borderId="0" xfId="0" applyNumberFormat="1" applyFont="1" applyFill="1" applyBorder="1"/>
    <xf numFmtId="0" fontId="0" fillId="0" borderId="0" xfId="0" applyNumberFormat="1" applyFill="1" applyBorder="1" applyAlignment="1">
      <alignment vertical="center"/>
    </xf>
    <xf numFmtId="0" fontId="0" fillId="0" borderId="0" xfId="0" applyNumberFormat="1" applyFill="1" applyBorder="1"/>
    <xf numFmtId="0" fontId="8" fillId="0" borderId="0" xfId="0" applyFont="1" applyFill="1" applyBorder="1" applyAlignment="1">
      <alignment horizontal="center" vertical="center"/>
    </xf>
    <xf numFmtId="0" fontId="12" fillId="0" borderId="11" xfId="0" applyFont="1" applyBorder="1"/>
    <xf numFmtId="0" fontId="12" fillId="0" borderId="12" xfId="0" applyFont="1" applyBorder="1"/>
    <xf numFmtId="0" fontId="12" fillId="0" borderId="7" xfId="0" applyFont="1" applyBorder="1"/>
    <xf numFmtId="0" fontId="12" fillId="0" borderId="8" xfId="0" applyFont="1" applyBorder="1"/>
    <xf numFmtId="0" fontId="12" fillId="0" borderId="9" xfId="0" applyFont="1" applyBorder="1"/>
    <xf numFmtId="0" fontId="12" fillId="0" borderId="10" xfId="0" applyFont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 applyFill="1"/>
    <xf numFmtId="0" fontId="14" fillId="0" borderId="0" xfId="0" applyFont="1"/>
    <xf numFmtId="0" fontId="0" fillId="11" borderId="0" xfId="0" applyFill="1" applyBorder="1"/>
    <xf numFmtId="0" fontId="0" fillId="11" borderId="15" xfId="0" applyFill="1" applyBorder="1"/>
    <xf numFmtId="0" fontId="14" fillId="11" borderId="16" xfId="0" applyFont="1" applyFill="1" applyBorder="1"/>
    <xf numFmtId="0" fontId="0" fillId="11" borderId="16" xfId="0" applyFill="1" applyBorder="1"/>
    <xf numFmtId="0" fontId="0" fillId="11" borderId="17" xfId="0" applyFill="1" applyBorder="1"/>
    <xf numFmtId="0" fontId="0" fillId="0" borderId="1" xfId="0" applyBorder="1" applyAlignment="1">
      <alignment horizontal="center" vertical="center" wrapText="1"/>
    </xf>
    <xf numFmtId="0" fontId="0" fillId="12" borderId="0" xfId="0" applyFill="1"/>
    <xf numFmtId="0" fontId="0" fillId="11" borderId="1" xfId="0" applyFill="1" applyBorder="1"/>
    <xf numFmtId="0" fontId="0" fillId="11" borderId="1" xfId="0" applyFill="1" applyBorder="1" applyAlignment="1">
      <alignment horizontal="center"/>
    </xf>
    <xf numFmtId="0" fontId="0" fillId="11" borderId="18" xfId="0" applyFill="1" applyBorder="1"/>
    <xf numFmtId="0" fontId="0" fillId="11" borderId="13" xfId="0" applyFill="1" applyBorder="1"/>
    <xf numFmtId="0" fontId="0" fillId="11" borderId="19" xfId="0" applyFill="1" applyBorder="1"/>
    <xf numFmtId="0" fontId="0" fillId="11" borderId="14" xfId="0" applyFill="1" applyBorder="1"/>
    <xf numFmtId="0" fontId="0" fillId="11" borderId="20" xfId="0" applyFill="1" applyBorder="1"/>
    <xf numFmtId="0" fontId="0" fillId="11" borderId="21" xfId="0" applyFill="1" applyBorder="1"/>
    <xf numFmtId="0" fontId="0" fillId="11" borderId="22" xfId="0" applyFill="1" applyBorder="1"/>
    <xf numFmtId="0" fontId="0" fillId="11" borderId="23" xfId="0" applyFill="1" applyBorder="1"/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/>
    <xf numFmtId="0" fontId="0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11" xfId="0" applyFont="1" applyBorder="1"/>
    <xf numFmtId="0" fontId="2" fillId="0" borderId="12" xfId="0" applyFont="1" applyBorder="1"/>
    <xf numFmtId="0" fontId="14" fillId="0" borderId="3" xfId="0" applyFont="1" applyBorder="1" applyAlignment="1"/>
    <xf numFmtId="0" fontId="4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21" fillId="0" borderId="0" xfId="0" applyFont="1"/>
    <xf numFmtId="0" fontId="13" fillId="0" borderId="0" xfId="0" applyFont="1" applyAlignment="1">
      <alignment horizontal="left" vertical="center"/>
    </xf>
    <xf numFmtId="0" fontId="14" fillId="0" borderId="3" xfId="0" applyFont="1" applyBorder="1" applyAlignment="1">
      <alignment horizontal="left"/>
    </xf>
    <xf numFmtId="0" fontId="16" fillId="10" borderId="0" xfId="0" applyFont="1" applyFill="1" applyAlignment="1">
      <alignment horizontal="center" vertical="center"/>
    </xf>
    <xf numFmtId="0" fontId="4" fillId="11" borderId="12" xfId="0" applyFont="1" applyFill="1" applyBorder="1" applyAlignment="1">
      <alignment horizontal="center"/>
    </xf>
    <xf numFmtId="0" fontId="17" fillId="5" borderId="0" xfId="0" applyFont="1" applyFill="1" applyAlignment="1">
      <alignment horizontal="center" vertical="center"/>
    </xf>
    <xf numFmtId="0" fontId="17" fillId="4" borderId="0" xfId="0" applyFont="1" applyFill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4" fillId="0" borderId="0" xfId="0" applyFont="1" applyAlignment="1">
      <alignment horizontal="left" vertical="center"/>
    </xf>
    <xf numFmtId="0" fontId="14" fillId="11" borderId="18" xfId="0" applyFont="1" applyFill="1" applyBorder="1" applyAlignment="1">
      <alignment horizontal="right" vertical="center"/>
    </xf>
    <xf numFmtId="0" fontId="14" fillId="11" borderId="13" xfId="0" applyFont="1" applyFill="1" applyBorder="1" applyAlignment="1">
      <alignment horizontal="right" vertical="center"/>
    </xf>
    <xf numFmtId="0" fontId="14" fillId="11" borderId="19" xfId="0" applyFont="1" applyFill="1" applyBorder="1" applyAlignment="1">
      <alignment horizontal="right" vertical="center"/>
    </xf>
    <xf numFmtId="0" fontId="14" fillId="11" borderId="21" xfId="0" applyFont="1" applyFill="1" applyBorder="1" applyAlignment="1">
      <alignment horizontal="right" vertical="center"/>
    </xf>
    <xf numFmtId="0" fontId="14" fillId="11" borderId="22" xfId="0" applyFont="1" applyFill="1" applyBorder="1" applyAlignment="1">
      <alignment horizontal="right" vertical="center"/>
    </xf>
    <xf numFmtId="0" fontId="14" fillId="11" borderId="23" xfId="0" applyFont="1" applyFill="1" applyBorder="1" applyAlignment="1">
      <alignment horizontal="right" vertical="center"/>
    </xf>
    <xf numFmtId="0" fontId="14" fillId="11" borderId="18" xfId="0" applyFont="1" applyFill="1" applyBorder="1" applyAlignment="1">
      <alignment horizontal="left" vertical="center"/>
    </xf>
    <xf numFmtId="0" fontId="14" fillId="11" borderId="13" xfId="0" applyFont="1" applyFill="1" applyBorder="1" applyAlignment="1">
      <alignment horizontal="left" vertical="center"/>
    </xf>
    <xf numFmtId="0" fontId="14" fillId="11" borderId="19" xfId="0" applyFont="1" applyFill="1" applyBorder="1" applyAlignment="1">
      <alignment horizontal="left" vertical="center"/>
    </xf>
    <xf numFmtId="0" fontId="14" fillId="11" borderId="21" xfId="0" applyFont="1" applyFill="1" applyBorder="1" applyAlignment="1">
      <alignment horizontal="left" vertical="center"/>
    </xf>
    <xf numFmtId="0" fontId="14" fillId="11" borderId="22" xfId="0" applyFont="1" applyFill="1" applyBorder="1" applyAlignment="1">
      <alignment horizontal="left" vertical="center"/>
    </xf>
    <xf numFmtId="0" fontId="14" fillId="11" borderId="23" xfId="0" applyFont="1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7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20" xfId="0" applyFill="1" applyBorder="1" applyAlignment="1">
      <alignment horizontal="left" vertical="center"/>
    </xf>
    <xf numFmtId="0" fontId="5" fillId="11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>
                <a:lumMod val="75000"/>
              </a:schemeClr>
            </a:solidFill>
            <a:ln w="22225">
              <a:solidFill>
                <a:schemeClr val="tx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'Spectral forecast - on data'!$AA$18:$AT$18</c:f>
                <c:numCache>
                  <c:formatCode>General</c:formatCode>
                  <c:ptCount val="20"/>
                  <c:pt idx="0">
                    <c:v>17.646786953002668</c:v>
                  </c:pt>
                  <c:pt idx="1">
                    <c:v>13.264558815026128</c:v>
                  </c:pt>
                  <c:pt idx="2">
                    <c:v>11.585019354509813</c:v>
                  </c:pt>
                  <c:pt idx="3">
                    <c:v>14.223245711876963</c:v>
                  </c:pt>
                  <c:pt idx="4">
                    <c:v>15.406350590823369</c:v>
                  </c:pt>
                  <c:pt idx="5">
                    <c:v>11.128421119655968</c:v>
                  </c:pt>
                  <c:pt idx="6">
                    <c:v>13.650709545829924</c:v>
                  </c:pt>
                  <c:pt idx="7">
                    <c:v>17.591957149911099</c:v>
                  </c:pt>
                  <c:pt idx="8">
                    <c:v>11.367929012419127</c:v>
                  </c:pt>
                  <c:pt idx="9">
                    <c:v>9.8304114900542903</c:v>
                  </c:pt>
                  <c:pt idx="10">
                    <c:v>17.638324215195563</c:v>
                  </c:pt>
                  <c:pt idx="11">
                    <c:v>18.553351794488513</c:v>
                  </c:pt>
                  <c:pt idx="12">
                    <c:v>25.594085932350655</c:v>
                  </c:pt>
                  <c:pt idx="13">
                    <c:v>19.177437347651672</c:v>
                  </c:pt>
                  <c:pt idx="14">
                    <c:v>17.113259669764396</c:v>
                  </c:pt>
                  <c:pt idx="15">
                    <c:v>17.549441390996236</c:v>
                  </c:pt>
                  <c:pt idx="16">
                    <c:v>14.761059420432511</c:v>
                  </c:pt>
                  <c:pt idx="17">
                    <c:v>12.267232645854143</c:v>
                  </c:pt>
                  <c:pt idx="18">
                    <c:v>15.272016295542064</c:v>
                  </c:pt>
                  <c:pt idx="19">
                    <c:v>13.260067378952627</c:v>
                  </c:pt>
                </c:numCache>
              </c:numRef>
            </c:plus>
            <c:minus>
              <c:numRef>
                <c:f>'Spectral forecast - on data'!$AA$18:$AT$18</c:f>
                <c:numCache>
                  <c:formatCode>General</c:formatCode>
                  <c:ptCount val="20"/>
                  <c:pt idx="0">
                    <c:v>17.646786953002668</c:v>
                  </c:pt>
                  <c:pt idx="1">
                    <c:v>13.264558815026128</c:v>
                  </c:pt>
                  <c:pt idx="2">
                    <c:v>11.585019354509813</c:v>
                  </c:pt>
                  <c:pt idx="3">
                    <c:v>14.223245711876963</c:v>
                  </c:pt>
                  <c:pt idx="4">
                    <c:v>15.406350590823369</c:v>
                  </c:pt>
                  <c:pt idx="5">
                    <c:v>11.128421119655968</c:v>
                  </c:pt>
                  <c:pt idx="6">
                    <c:v>13.650709545829924</c:v>
                  </c:pt>
                  <c:pt idx="7">
                    <c:v>17.591957149911099</c:v>
                  </c:pt>
                  <c:pt idx="8">
                    <c:v>11.367929012419127</c:v>
                  </c:pt>
                  <c:pt idx="9">
                    <c:v>9.8304114900542903</c:v>
                  </c:pt>
                  <c:pt idx="10">
                    <c:v>17.638324215195563</c:v>
                  </c:pt>
                  <c:pt idx="11">
                    <c:v>18.553351794488513</c:v>
                  </c:pt>
                  <c:pt idx="12">
                    <c:v>25.594085932350655</c:v>
                  </c:pt>
                  <c:pt idx="13">
                    <c:v>19.177437347651672</c:v>
                  </c:pt>
                  <c:pt idx="14">
                    <c:v>17.113259669764396</c:v>
                  </c:pt>
                  <c:pt idx="15">
                    <c:v>17.549441390996236</c:v>
                  </c:pt>
                  <c:pt idx="16">
                    <c:v>14.761059420432511</c:v>
                  </c:pt>
                  <c:pt idx="17">
                    <c:v>12.267232645854143</c:v>
                  </c:pt>
                  <c:pt idx="18">
                    <c:v>15.272016295542064</c:v>
                  </c:pt>
                  <c:pt idx="19">
                    <c:v>13.260067378952627</c:v>
                  </c:pt>
                </c:numCache>
              </c:numRef>
            </c:minus>
            <c:spPr>
              <a:noFill/>
              <a:ln w="22225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'Spectral forecast - on data'!$AA$17:$AT$17</c:f>
              <c:numCache>
                <c:formatCode>General</c:formatCode>
                <c:ptCount val="20"/>
                <c:pt idx="0">
                  <c:v>30.64084044436408</c:v>
                </c:pt>
                <c:pt idx="1">
                  <c:v>37.370098794588863</c:v>
                </c:pt>
                <c:pt idx="2">
                  <c:v>39.089462832969787</c:v>
                </c:pt>
                <c:pt idx="3">
                  <c:v>45.017826314086342</c:v>
                </c:pt>
                <c:pt idx="4">
                  <c:v>46.132532810275009</c:v>
                </c:pt>
                <c:pt idx="5">
                  <c:v>44.771858865341095</c:v>
                </c:pt>
                <c:pt idx="6">
                  <c:v>50.930945084610947</c:v>
                </c:pt>
                <c:pt idx="7">
                  <c:v>57.993074058763753</c:v>
                </c:pt>
                <c:pt idx="8">
                  <c:v>54.670879121011566</c:v>
                </c:pt>
                <c:pt idx="9">
                  <c:v>50.603874095916289</c:v>
                </c:pt>
                <c:pt idx="10">
                  <c:v>60.654626331688817</c:v>
                </c:pt>
                <c:pt idx="11">
                  <c:v>63.862902271214566</c:v>
                </c:pt>
                <c:pt idx="12">
                  <c:v>68.044494683433669</c:v>
                </c:pt>
                <c:pt idx="13">
                  <c:v>54.545990304458016</c:v>
                </c:pt>
                <c:pt idx="14">
                  <c:v>54.608837003178223</c:v>
                </c:pt>
                <c:pt idx="15">
                  <c:v>46.650983556159353</c:v>
                </c:pt>
                <c:pt idx="16">
                  <c:v>43.368859591509491</c:v>
                </c:pt>
                <c:pt idx="17">
                  <c:v>38.009562663004125</c:v>
                </c:pt>
                <c:pt idx="18">
                  <c:v>34.908093268671863</c:v>
                </c:pt>
                <c:pt idx="19">
                  <c:v>32.724996499234223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overlap val="4"/>
        <c:axId val="236392576"/>
        <c:axId val="236392968"/>
      </c:barChart>
      <c:catAx>
        <c:axId val="236392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36392968"/>
        <c:crosses val="autoZero"/>
        <c:auto val="1"/>
        <c:lblAlgn val="ctr"/>
        <c:lblOffset val="100"/>
        <c:noMultiLvlLbl val="0"/>
      </c:catAx>
      <c:valAx>
        <c:axId val="236392968"/>
        <c:scaling>
          <c:orientation val="minMax"/>
          <c:max val="100"/>
        </c:scaling>
        <c:delete val="0"/>
        <c:axPos val="l"/>
        <c:majorGridlines>
          <c:spPr>
            <a:ln w="222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9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/>
            </a:solidFill>
            <a:ln w="22225">
              <a:solidFill>
                <a:schemeClr val="tx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'Spectral forecast - on data'!$C$18:$V$18</c:f>
                <c:numCache>
                  <c:formatCode>General</c:formatCode>
                  <c:ptCount val="20"/>
                  <c:pt idx="0">
                    <c:v>13.785077905015591</c:v>
                  </c:pt>
                  <c:pt idx="1">
                    <c:v>10.36182831060265</c:v>
                  </c:pt>
                  <c:pt idx="2">
                    <c:v>9.0498284338303971</c:v>
                  </c:pt>
                  <c:pt idx="3">
                    <c:v>11.110722349772603</c:v>
                  </c:pt>
                  <c:pt idx="4">
                    <c:v>12.034924187167467</c:v>
                  </c:pt>
                  <c:pt idx="5">
                    <c:v>8.6931492119689082</c:v>
                  </c:pt>
                  <c:pt idx="6">
                    <c:v>10.663476305865769</c:v>
                  </c:pt>
                  <c:pt idx="7">
                    <c:v>13.742246702420598</c:v>
                  </c:pt>
                  <c:pt idx="8">
                    <c:v>8.8802447421296584</c:v>
                  </c:pt>
                  <c:pt idx="9">
                    <c:v>7.6791876385009719</c:v>
                  </c:pt>
                  <c:pt idx="10">
                    <c:v>13.778467098171749</c:v>
                  </c:pt>
                  <c:pt idx="11">
                    <c:v>14.493255943267693</c:v>
                  </c:pt>
                  <c:pt idx="12">
                    <c:v>19.993241229961367</c:v>
                  </c:pt>
                  <c:pt idx="13">
                    <c:v>14.980770638869794</c:v>
                  </c:pt>
                  <c:pt idx="14">
                    <c:v>13.368304291582307</c:v>
                  </c:pt>
                  <c:pt idx="15">
                    <c:v>13.709034817991313</c:v>
                  </c:pt>
                  <c:pt idx="16">
                    <c:v>11.53084437485108</c:v>
                  </c:pt>
                  <c:pt idx="17">
                    <c:v>9.5827505682713756</c:v>
                  </c:pt>
                  <c:pt idx="18">
                    <c:v>11.929986742708037</c:v>
                  </c:pt>
                  <c:pt idx="19">
                    <c:v>10.358319751432999</c:v>
                  </c:pt>
                </c:numCache>
              </c:numRef>
            </c:plus>
            <c:minus>
              <c:numRef>
                <c:f>'Spectral forecast - on data'!$C$18:$V$18</c:f>
                <c:numCache>
                  <c:formatCode>General</c:formatCode>
                  <c:ptCount val="20"/>
                  <c:pt idx="0">
                    <c:v>13.785077905015591</c:v>
                  </c:pt>
                  <c:pt idx="1">
                    <c:v>10.36182831060265</c:v>
                  </c:pt>
                  <c:pt idx="2">
                    <c:v>9.0498284338303971</c:v>
                  </c:pt>
                  <c:pt idx="3">
                    <c:v>11.110722349772603</c:v>
                  </c:pt>
                  <c:pt idx="4">
                    <c:v>12.034924187167467</c:v>
                  </c:pt>
                  <c:pt idx="5">
                    <c:v>8.6931492119689082</c:v>
                  </c:pt>
                  <c:pt idx="6">
                    <c:v>10.663476305865769</c:v>
                  </c:pt>
                  <c:pt idx="7">
                    <c:v>13.742246702420598</c:v>
                  </c:pt>
                  <c:pt idx="8">
                    <c:v>8.8802447421296584</c:v>
                  </c:pt>
                  <c:pt idx="9">
                    <c:v>7.6791876385009719</c:v>
                  </c:pt>
                  <c:pt idx="10">
                    <c:v>13.778467098171749</c:v>
                  </c:pt>
                  <c:pt idx="11">
                    <c:v>14.493255943267693</c:v>
                  </c:pt>
                  <c:pt idx="12">
                    <c:v>19.993241229961367</c:v>
                  </c:pt>
                  <c:pt idx="13">
                    <c:v>14.980770638869794</c:v>
                  </c:pt>
                  <c:pt idx="14">
                    <c:v>13.368304291582307</c:v>
                  </c:pt>
                  <c:pt idx="15">
                    <c:v>13.709034817991313</c:v>
                  </c:pt>
                  <c:pt idx="16">
                    <c:v>11.53084437485108</c:v>
                  </c:pt>
                  <c:pt idx="17">
                    <c:v>9.5827505682713756</c:v>
                  </c:pt>
                  <c:pt idx="18">
                    <c:v>11.929986742708037</c:v>
                  </c:pt>
                  <c:pt idx="19">
                    <c:v>10.358319751432999</c:v>
                  </c:pt>
                </c:numCache>
              </c:numRef>
            </c:minus>
            <c:spPr>
              <a:noFill/>
              <a:ln w="22225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'Spectral forecast - on data'!$C$17:$V$17</c:f>
              <c:numCache>
                <c:formatCode>General</c:formatCode>
                <c:ptCount val="20"/>
                <c:pt idx="0">
                  <c:v>23.935596532423737</c:v>
                </c:pt>
                <c:pt idx="1">
                  <c:v>29.192267384056652</c:v>
                </c:pt>
                <c:pt idx="2">
                  <c:v>30.535376884912871</c:v>
                </c:pt>
                <c:pt idx="3">
                  <c:v>35.16641553540984</c:v>
                </c:pt>
                <c:pt idx="4">
                  <c:v>36.037186851010333</c:v>
                </c:pt>
                <c:pt idx="5">
                  <c:v>34.974274016838706</c:v>
                </c:pt>
                <c:pt idx="6">
                  <c:v>39.785545529463626</c:v>
                </c:pt>
                <c:pt idx="7">
                  <c:v>45.302243744455076</c:v>
                </c:pt>
                <c:pt idx="8">
                  <c:v>42.70705652116456</c:v>
                </c:pt>
                <c:pt idx="9">
                  <c:v>39.53004864656738</c:v>
                </c:pt>
                <c:pt idx="10">
                  <c:v>47.381359083029523</c:v>
                </c:pt>
                <c:pt idx="11">
                  <c:v>49.88755660697165</c:v>
                </c:pt>
                <c:pt idx="12">
                  <c:v>53.154076303898911</c:v>
                </c:pt>
                <c:pt idx="13">
                  <c:v>42.609497567784508</c:v>
                </c:pt>
                <c:pt idx="14">
                  <c:v>42.658591300271787</c:v>
                </c:pt>
                <c:pt idx="15">
                  <c:v>36.442183179291661</c:v>
                </c:pt>
                <c:pt idx="16">
                  <c:v>33.878298055778103</c:v>
                </c:pt>
                <c:pt idx="17">
                  <c:v>29.691795103579956</c:v>
                </c:pt>
                <c:pt idx="18">
                  <c:v>27.2690312693049</c:v>
                </c:pt>
                <c:pt idx="19">
                  <c:v>25.563669317521104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overlap val="4"/>
        <c:axId val="269728696"/>
        <c:axId val="269735752"/>
      </c:barChart>
      <c:catAx>
        <c:axId val="269728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69735752"/>
        <c:crosses val="autoZero"/>
        <c:auto val="1"/>
        <c:lblAlgn val="ctr"/>
        <c:lblOffset val="100"/>
        <c:noMultiLvlLbl val="0"/>
      </c:catAx>
      <c:valAx>
        <c:axId val="269735752"/>
        <c:scaling>
          <c:orientation val="minMax"/>
          <c:max val="100"/>
        </c:scaling>
        <c:delete val="0"/>
        <c:axPos val="l"/>
        <c:majorGridlines>
          <c:spPr>
            <a:ln w="222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2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/>
            </a:solidFill>
            <a:ln w="22225">
              <a:solidFill>
                <a:schemeClr val="tx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'Spectral forecast - on data'!$AY$18:$BR$18</c:f>
                <c:numCache>
                  <c:formatCode>General</c:formatCode>
                  <c:ptCount val="20"/>
                  <c:pt idx="0">
                    <c:v>16.412575196605186</c:v>
                  </c:pt>
                  <c:pt idx="1">
                    <c:v>15.493198511542261</c:v>
                  </c:pt>
                  <c:pt idx="2">
                    <c:v>14.607128740241077</c:v>
                  </c:pt>
                  <c:pt idx="3">
                    <c:v>8.4699302096372424</c:v>
                  </c:pt>
                  <c:pt idx="4">
                    <c:v>11.000704800830428</c:v>
                  </c:pt>
                  <c:pt idx="5">
                    <c:v>10.795047180584234</c:v>
                  </c:pt>
                  <c:pt idx="6">
                    <c:v>4.8165757246799794</c:v>
                  </c:pt>
                  <c:pt idx="7">
                    <c:v>4.9632641023374982</c:v>
                  </c:pt>
                  <c:pt idx="8">
                    <c:v>8.1268336492245243</c:v>
                  </c:pt>
                  <c:pt idx="9">
                    <c:v>3.7654519955333154</c:v>
                  </c:pt>
                  <c:pt idx="10">
                    <c:v>11.889310942508125</c:v>
                  </c:pt>
                  <c:pt idx="11">
                    <c:v>13.779912804545273</c:v>
                  </c:pt>
                  <c:pt idx="12">
                    <c:v>14.952094772518311</c:v>
                  </c:pt>
                  <c:pt idx="13">
                    <c:v>15.02124886702329</c:v>
                  </c:pt>
                  <c:pt idx="14">
                    <c:v>12.159641772206898</c:v>
                  </c:pt>
                  <c:pt idx="15">
                    <c:v>14.607564617424941</c:v>
                  </c:pt>
                  <c:pt idx="16">
                    <c:v>10.599675381646486</c:v>
                  </c:pt>
                  <c:pt idx="17">
                    <c:v>11.043522724416661</c:v>
                  </c:pt>
                  <c:pt idx="18">
                    <c:v>13.395229592495959</c:v>
                  </c:pt>
                  <c:pt idx="19">
                    <c:v>12.632831978550474</c:v>
                  </c:pt>
                </c:numCache>
              </c:numRef>
            </c:plus>
            <c:minus>
              <c:numRef>
                <c:f>'Spectral forecast - on data'!$AY$18:$BR$18</c:f>
                <c:numCache>
                  <c:formatCode>General</c:formatCode>
                  <c:ptCount val="20"/>
                  <c:pt idx="0">
                    <c:v>16.412575196605186</c:v>
                  </c:pt>
                  <c:pt idx="1">
                    <c:v>15.493198511542261</c:v>
                  </c:pt>
                  <c:pt idx="2">
                    <c:v>14.607128740241077</c:v>
                  </c:pt>
                  <c:pt idx="3">
                    <c:v>8.4699302096372424</c:v>
                  </c:pt>
                  <c:pt idx="4">
                    <c:v>11.000704800830428</c:v>
                  </c:pt>
                  <c:pt idx="5">
                    <c:v>10.795047180584234</c:v>
                  </c:pt>
                  <c:pt idx="6">
                    <c:v>4.8165757246799794</c:v>
                  </c:pt>
                  <c:pt idx="7">
                    <c:v>4.9632641023374982</c:v>
                  </c:pt>
                  <c:pt idx="8">
                    <c:v>8.1268336492245243</c:v>
                  </c:pt>
                  <c:pt idx="9">
                    <c:v>3.7654519955333154</c:v>
                  </c:pt>
                  <c:pt idx="10">
                    <c:v>11.889310942508125</c:v>
                  </c:pt>
                  <c:pt idx="11">
                    <c:v>13.779912804545273</c:v>
                  </c:pt>
                  <c:pt idx="12">
                    <c:v>14.952094772518311</c:v>
                  </c:pt>
                  <c:pt idx="13">
                    <c:v>15.02124886702329</c:v>
                  </c:pt>
                  <c:pt idx="14">
                    <c:v>12.159641772206898</c:v>
                  </c:pt>
                  <c:pt idx="15">
                    <c:v>14.607564617424941</c:v>
                  </c:pt>
                  <c:pt idx="16">
                    <c:v>10.599675381646486</c:v>
                  </c:pt>
                  <c:pt idx="17">
                    <c:v>11.043522724416661</c:v>
                  </c:pt>
                  <c:pt idx="18">
                    <c:v>13.395229592495959</c:v>
                  </c:pt>
                  <c:pt idx="19">
                    <c:v>12.632831978550474</c:v>
                  </c:pt>
                </c:numCache>
              </c:numRef>
            </c:minus>
            <c:spPr>
              <a:noFill/>
              <a:ln w="22225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'Spectral forecast - on data'!$AY$17:$BR$17</c:f>
              <c:numCache>
                <c:formatCode>General</c:formatCode>
                <c:ptCount val="20"/>
                <c:pt idx="0">
                  <c:v>44.98890124557478</c:v>
                </c:pt>
                <c:pt idx="1">
                  <c:v>51.156992607880753</c:v>
                </c:pt>
                <c:pt idx="2">
                  <c:v>54.589749010651381</c:v>
                </c:pt>
                <c:pt idx="3">
                  <c:v>56.266272656766702</c:v>
                </c:pt>
                <c:pt idx="4">
                  <c:v>61.130062071025407</c:v>
                </c:pt>
                <c:pt idx="5">
                  <c:v>63.896136031962648</c:v>
                </c:pt>
                <c:pt idx="6">
                  <c:v>65.314499619360348</c:v>
                </c:pt>
                <c:pt idx="7">
                  <c:v>70.153136207789544</c:v>
                </c:pt>
                <c:pt idx="8">
                  <c:v>69.47542231949275</c:v>
                </c:pt>
                <c:pt idx="9">
                  <c:v>67.85188186458025</c:v>
                </c:pt>
                <c:pt idx="10">
                  <c:v>62.075325292346669</c:v>
                </c:pt>
                <c:pt idx="11">
                  <c:v>64.589742209074956</c:v>
                </c:pt>
                <c:pt idx="12">
                  <c:v>65.229083198998737</c:v>
                </c:pt>
                <c:pt idx="13">
                  <c:v>59.359033502132277</c:v>
                </c:pt>
                <c:pt idx="14">
                  <c:v>50.870773258334538</c:v>
                </c:pt>
                <c:pt idx="15">
                  <c:v>52.161729844829054</c:v>
                </c:pt>
                <c:pt idx="16">
                  <c:v>53.572337945537321</c:v>
                </c:pt>
                <c:pt idx="17">
                  <c:v>46.002383761229112</c:v>
                </c:pt>
                <c:pt idx="18">
                  <c:v>49.246169764719369</c:v>
                </c:pt>
                <c:pt idx="19">
                  <c:v>46.527195302455482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overlap val="4"/>
        <c:axId val="269730656"/>
        <c:axId val="269734576"/>
      </c:barChart>
      <c:catAx>
        <c:axId val="269730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269734576"/>
        <c:crosses val="autoZero"/>
        <c:auto val="1"/>
        <c:lblAlgn val="ctr"/>
        <c:lblOffset val="100"/>
        <c:noMultiLvlLbl val="0"/>
      </c:catAx>
      <c:valAx>
        <c:axId val="269734576"/>
        <c:scaling>
          <c:orientation val="minMax"/>
          <c:max val="100"/>
        </c:scaling>
        <c:delete val="0"/>
        <c:axPos val="l"/>
        <c:majorGridlines>
          <c:spPr>
            <a:ln w="222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3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'Spectral forecast - on data'!$CZ$2:$CZ$3</c:f>
              <c:strCache>
                <c:ptCount val="2"/>
                <c:pt idx="0">
                  <c:v>List of  similarity values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'Spectral forecast - on data'!$CZ$4:$CZ$103</c:f>
              <c:numCache>
                <c:formatCode>General</c:formatCode>
                <c:ptCount val="100"/>
                <c:pt idx="0">
                  <c:v>0.8133670011244527</c:v>
                </c:pt>
                <c:pt idx="1">
                  <c:v>0.81367599882515862</c:v>
                </c:pt>
                <c:pt idx="2">
                  <c:v>0.8139802459584089</c:v>
                </c:pt>
                <c:pt idx="3">
                  <c:v>0.81427962961038636</c:v>
                </c:pt>
                <c:pt idx="4">
                  <c:v>0.81457403486610969</c:v>
                </c:pt>
                <c:pt idx="5">
                  <c:v>0.8148633447788165</c:v>
                </c:pt>
                <c:pt idx="6">
                  <c:v>0.81514744033906716</c:v>
                </c:pt>
                <c:pt idx="7">
                  <c:v>0.81542620044354175</c:v>
                </c:pt>
                <c:pt idx="8">
                  <c:v>0.81569950186354523</c:v>
                </c:pt>
                <c:pt idx="9">
                  <c:v>0.81596721921323334</c:v>
                </c:pt>
                <c:pt idx="10">
                  <c:v>0.81622922491754879</c:v>
                </c:pt>
                <c:pt idx="11">
                  <c:v>0.81648538917989177</c:v>
                </c:pt>
                <c:pt idx="12">
                  <c:v>0.81673557994952684</c:v>
                </c:pt>
                <c:pt idx="13">
                  <c:v>0.81697966288872725</c:v>
                </c:pt>
                <c:pt idx="14">
                  <c:v>0.8172175013396713</c:v>
                </c:pt>
                <c:pt idx="15">
                  <c:v>0.81744895629111036</c:v>
                </c:pt>
                <c:pt idx="16">
                  <c:v>0.81767388634479188</c:v>
                </c:pt>
                <c:pt idx="17">
                  <c:v>0.81789214768167229</c:v>
                </c:pt>
                <c:pt idx="18">
                  <c:v>0.81810359402792499</c:v>
                </c:pt>
                <c:pt idx="19">
                  <c:v>0.81830807662075511</c:v>
                </c:pt>
                <c:pt idx="20">
                  <c:v>0.81850544417401905</c:v>
                </c:pt>
                <c:pt idx="21">
                  <c:v>0.81869554284369905</c:v>
                </c:pt>
                <c:pt idx="22">
                  <c:v>0.8188782161932</c:v>
                </c:pt>
                <c:pt idx="23">
                  <c:v>0.81905330515852803</c:v>
                </c:pt>
                <c:pt idx="24">
                  <c:v>0.81922064801334382</c:v>
                </c:pt>
                <c:pt idx="25">
                  <c:v>0.81938008033389909</c:v>
                </c:pt>
                <c:pt idx="26">
                  <c:v>0.81953143496391234</c:v>
                </c:pt>
                <c:pt idx="27">
                  <c:v>0.81967454197935463</c:v>
                </c:pt>
                <c:pt idx="28">
                  <c:v>0.81980922865320416</c:v>
                </c:pt>
                <c:pt idx="29">
                  <c:v>0.81993531942018105</c:v>
                </c:pt>
                <c:pt idx="30">
                  <c:v>0.82005263584146926</c:v>
                </c:pt>
                <c:pt idx="31">
                  <c:v>0.82016099656946972</c:v>
                </c:pt>
                <c:pt idx="32">
                  <c:v>0.82026021731260279</c:v>
                </c:pt>
                <c:pt idx="33">
                  <c:v>0.82035011080018916</c:v>
                </c:pt>
                <c:pt idx="34">
                  <c:v>0.82043048674742425</c:v>
                </c:pt>
                <c:pt idx="35">
                  <c:v>0.82050115182048677</c:v>
                </c:pt>
                <c:pt idx="36">
                  <c:v>0.82056190960183051</c:v>
                </c:pt>
                <c:pt idx="37">
                  <c:v>0.82061256055564169</c:v>
                </c:pt>
                <c:pt idx="38">
                  <c:v>0.82065290199354957</c:v>
                </c:pt>
                <c:pt idx="39">
                  <c:v>0.82068272804058229</c:v>
                </c:pt>
                <c:pt idx="40">
                  <c:v>0.82070182960145144</c:v>
                </c:pt>
                <c:pt idx="41">
                  <c:v>0.82070999432712932</c:v>
                </c:pt>
                <c:pt idx="42">
                  <c:v>0.82070700658186668</c:v>
                </c:pt>
                <c:pt idx="43">
                  <c:v>0.82069264741058112</c:v>
                </c:pt>
                <c:pt idx="44">
                  <c:v>0.82066669450674024</c:v>
                </c:pt>
                <c:pt idx="45">
                  <c:v>0.82062892218073702</c:v>
                </c:pt>
                <c:pt idx="46">
                  <c:v>0.82057910132884648</c:v>
                </c:pt>
                <c:pt idx="47">
                  <c:v>0.82051699940276623</c:v>
                </c:pt>
                <c:pt idx="48">
                  <c:v>0.8204423803798363</c:v>
                </c:pt>
                <c:pt idx="49">
                  <c:v>0.82035500473396006</c:v>
                </c:pt>
                <c:pt idx="50">
                  <c:v>0.82025462940729965</c:v>
                </c:pt>
                <c:pt idx="51">
                  <c:v>0.8201410077828013</c:v>
                </c:pt>
                <c:pt idx="52">
                  <c:v>0.82001388965759425</c:v>
                </c:pt>
                <c:pt idx="53">
                  <c:v>0.81987302121737127</c:v>
                </c:pt>
                <c:pt idx="54">
                  <c:v>0.81971814501173379</c:v>
                </c:pt>
                <c:pt idx="55">
                  <c:v>0.81954899993067465</c:v>
                </c:pt>
                <c:pt idx="56">
                  <c:v>0.81936532118217043</c:v>
                </c:pt>
                <c:pt idx="57">
                  <c:v>0.81916684027102316</c:v>
                </c:pt>
                <c:pt idx="58">
                  <c:v>0.8189532849789799</c:v>
                </c:pt>
                <c:pt idx="59">
                  <c:v>0.81872437934625919</c:v>
                </c:pt>
                <c:pt idx="60">
                  <c:v>0.81847984365449156</c:v>
                </c:pt>
                <c:pt idx="61">
                  <c:v>0.81821939441125002</c:v>
                </c:pt>
                <c:pt idx="62">
                  <c:v>0.81794274433615499</c:v>
                </c:pt>
                <c:pt idx="63">
                  <c:v>0.81764960234873962</c:v>
                </c:pt>
                <c:pt idx="64">
                  <c:v>0.81733967355808246</c:v>
                </c:pt>
                <c:pt idx="65">
                  <c:v>0.81701265925436051</c:v>
                </c:pt>
                <c:pt idx="66">
                  <c:v>0.81666825690239153</c:v>
                </c:pt>
                <c:pt idx="67">
                  <c:v>0.81630616013727963</c:v>
                </c:pt>
                <c:pt idx="68">
                  <c:v>0.81592605876225055</c:v>
                </c:pt>
                <c:pt idx="69">
                  <c:v>0.81552763874880096</c:v>
                </c:pt>
                <c:pt idx="70">
                  <c:v>0.81511058223925936</c:v>
                </c:pt>
                <c:pt idx="71">
                  <c:v>0.81467456755187817</c:v>
                </c:pt>
                <c:pt idx="72">
                  <c:v>0.81421926918856502</c:v>
                </c:pt>
                <c:pt idx="73">
                  <c:v>0.8137443578453748</c:v>
                </c:pt>
                <c:pt idx="74">
                  <c:v>0.81324950042589816</c:v>
                </c:pt>
                <c:pt idx="75">
                  <c:v>0.81273436005763777</c:v>
                </c:pt>
                <c:pt idx="76">
                  <c:v>0.81219859611154344</c:v>
                </c:pt>
                <c:pt idx="77">
                  <c:v>0.81164186422479812</c:v>
                </c:pt>
                <c:pt idx="78">
                  <c:v>0.81106381632700963</c:v>
                </c:pt>
                <c:pt idx="79">
                  <c:v>0.810464100669953</c:v>
                </c:pt>
                <c:pt idx="80">
                  <c:v>0.80984236186098146</c:v>
                </c:pt>
                <c:pt idx="81">
                  <c:v>0.80919824090025705</c:v>
                </c:pt>
                <c:pt idx="82">
                  <c:v>0.80853137522197183</c:v>
                </c:pt>
                <c:pt idx="83">
                  <c:v>0.80784139873966321</c:v>
                </c:pt>
                <c:pt idx="84">
                  <c:v>0.80712794189581516</c:v>
                </c:pt>
                <c:pt idx="85">
                  <c:v>0.80639063171588365</c:v>
                </c:pt>
                <c:pt idx="86">
                  <c:v>0.80562909186690801</c:v>
                </c:pt>
                <c:pt idx="87">
                  <c:v>0.80484294272085755</c:v>
                </c:pt>
                <c:pt idx="88">
                  <c:v>0.80403180142289254</c:v>
                </c:pt>
                <c:pt idx="89">
                  <c:v>0.80319528196469292</c:v>
                </c:pt>
                <c:pt idx="90">
                  <c:v>0.80233299526303725</c:v>
                </c:pt>
                <c:pt idx="91">
                  <c:v>0.80144454924376329</c:v>
                </c:pt>
                <c:pt idx="92">
                  <c:v>0.80052954893133998</c:v>
                </c:pt>
                <c:pt idx="93">
                  <c:v>0.79958759654416312</c:v>
                </c:pt>
                <c:pt idx="94">
                  <c:v>0.79861829159579878</c:v>
                </c:pt>
                <c:pt idx="95">
                  <c:v>0.79762123100231352</c:v>
                </c:pt>
                <c:pt idx="96">
                  <c:v>0.79659600919587648</c:v>
                </c:pt>
                <c:pt idx="97">
                  <c:v>0.7955422182448485</c:v>
                </c:pt>
                <c:pt idx="98">
                  <c:v>0.79445944798046186</c:v>
                </c:pt>
                <c:pt idx="99">
                  <c:v>0.79334728613033612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9729480"/>
        <c:axId val="269734968"/>
      </c:lineChart>
      <c:catAx>
        <c:axId val="269729480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noFill/>
          <a:ln w="25400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34968"/>
        <c:crosses val="autoZero"/>
        <c:auto val="1"/>
        <c:lblAlgn val="ctr"/>
        <c:lblOffset val="100"/>
        <c:noMultiLvlLbl val="0"/>
      </c:catAx>
      <c:valAx>
        <c:axId val="269734968"/>
        <c:scaling>
          <c:orientation val="minMax"/>
        </c:scaling>
        <c:delete val="0"/>
        <c:axPos val="l"/>
        <c:majorGridlines>
          <c:spPr>
            <a:ln w="2857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in"/>
        <c:minorTickMark val="in"/>
        <c:tickLblPos val="nextTo"/>
        <c:spPr>
          <a:noFill/>
          <a:ln w="25400">
            <a:solidFill>
              <a:schemeClr val="tx1">
                <a:lumMod val="75000"/>
                <a:lumOff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29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'Spectral forecast - on data'!$DC$2</c:f>
              <c:strCache>
                <c:ptCount val="1"/>
                <c:pt idx="0">
                  <c:v>F(-)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'Spectral forecast - on data'!$DC$3:$DC$103</c:f>
              <c:numCache>
                <c:formatCode>General</c:formatCode>
                <c:ptCount val="101"/>
                <c:pt idx="1">
                  <c:v>0.82514229147513096</c:v>
                </c:pt>
                <c:pt idx="2">
                  <c:v>0.82649506179320731</c:v>
                </c:pt>
                <c:pt idx="3">
                  <c:v>0.8278504337904562</c:v>
                </c:pt>
                <c:pt idx="4">
                  <c:v>0.82920834488938566</c:v>
                </c:pt>
                <c:pt idx="5">
                  <c:v>0.83056873054238667</c:v>
                </c:pt>
                <c:pt idx="6">
                  <c:v>0.83193152418819949</c:v>
                </c:pt>
                <c:pt idx="7">
                  <c:v>0.83329665720759771</c:v>
                </c:pt>
                <c:pt idx="8">
                  <c:v>0.83466405887825501</c:v>
                </c:pt>
                <c:pt idx="9">
                  <c:v>0.83603365632880466</c:v>
                </c:pt>
                <c:pt idx="10">
                  <c:v>0.83740537449208541</c:v>
                </c:pt>
                <c:pt idx="11">
                  <c:v>0.83877913605755217</c:v>
                </c:pt>
                <c:pt idx="12">
                  <c:v>0.84015486142285123</c:v>
                </c:pt>
                <c:pt idx="13">
                  <c:v>0.84153246864454523</c:v>
                </c:pt>
                <c:pt idx="14">
                  <c:v>0.842911873387997</c:v>
                </c:pt>
                <c:pt idx="15">
                  <c:v>0.8442929888763876</c:v>
                </c:pt>
                <c:pt idx="16">
                  <c:v>0.84567572583887463</c:v>
                </c:pt>
                <c:pt idx="17">
                  <c:v>0.84705999245786212</c:v>
                </c:pt>
                <c:pt idx="18">
                  <c:v>0.84844569431540606</c:v>
                </c:pt>
                <c:pt idx="19">
                  <c:v>0.8498327343387414</c:v>
                </c:pt>
                <c:pt idx="20">
                  <c:v>0.85122101274490003</c:v>
                </c:pt>
                <c:pt idx="21">
                  <c:v>0.85261042698444789</c:v>
                </c:pt>
                <c:pt idx="22">
                  <c:v>0.85400087168432004</c:v>
                </c:pt>
                <c:pt idx="23">
                  <c:v>0.85539223858976154</c:v>
                </c:pt>
                <c:pt idx="24">
                  <c:v>0.85678441650534132</c:v>
                </c:pt>
                <c:pt idx="25">
                  <c:v>0.85817729123509168</c:v>
                </c:pt>
                <c:pt idx="26">
                  <c:v>0.85957074552170831</c:v>
                </c:pt>
                <c:pt idx="27">
                  <c:v>0.86096465898485675</c:v>
                </c:pt>
                <c:pt idx="28">
                  <c:v>0.86235890805856663</c:v>
                </c:pt>
                <c:pt idx="29">
                  <c:v>0.86375336592770346</c:v>
                </c:pt>
                <c:pt idx="30">
                  <c:v>0.86514790246355777</c:v>
                </c:pt>
                <c:pt idx="31">
                  <c:v>0.86654238415849671</c:v>
                </c:pt>
                <c:pt idx="32">
                  <c:v>0.86793667405973984</c:v>
                </c:pt>
                <c:pt idx="33">
                  <c:v>0.86933063170221414</c:v>
                </c:pt>
                <c:pt idx="34">
                  <c:v>0.87072411304053254</c:v>
                </c:pt>
                <c:pt idx="35">
                  <c:v>0.87211697038007741</c:v>
                </c:pt>
                <c:pt idx="36">
                  <c:v>0.87350905230720177</c:v>
                </c:pt>
                <c:pt idx="37">
                  <c:v>0.87490020361856502</c:v>
                </c:pt>
                <c:pt idx="38">
                  <c:v>0.87629026524960019</c:v>
                </c:pt>
                <c:pt idx="39">
                  <c:v>0.87767907420214519</c:v>
                </c:pt>
                <c:pt idx="40">
                  <c:v>0.87906646347122375</c:v>
                </c:pt>
                <c:pt idx="41">
                  <c:v>0.88045226197100646</c:v>
                </c:pt>
                <c:pt idx="42">
                  <c:v>0.88183629445996858</c:v>
                </c:pt>
                <c:pt idx="43">
                  <c:v>0.88321838146525933</c:v>
                </c:pt>
                <c:pt idx="44">
                  <c:v>0.8845983392062976</c:v>
                </c:pt>
                <c:pt idx="45">
                  <c:v>0.88597597951761664</c:v>
                </c:pt>
                <c:pt idx="46">
                  <c:v>0.88735110977098675</c:v>
                </c:pt>
                <c:pt idx="47">
                  <c:v>0.88872353279683858</c:v>
                </c:pt>
                <c:pt idx="48">
                  <c:v>0.89009304680499879</c:v>
                </c:pt>
                <c:pt idx="49">
                  <c:v>0.89145944530479437</c:v>
                </c:pt>
                <c:pt idx="50">
                  <c:v>0.89282251702453364</c:v>
                </c:pt>
                <c:pt idx="51">
                  <c:v>0.8941820458304105</c:v>
                </c:pt>
                <c:pt idx="52">
                  <c:v>0.89553781064485583</c:v>
                </c:pt>
                <c:pt idx="53">
                  <c:v>0.89688958536438212</c:v>
                </c:pt>
                <c:pt idx="54">
                  <c:v>0.8982371387769793</c:v>
                </c:pt>
                <c:pt idx="55">
                  <c:v>0.89958023447905333</c:v>
                </c:pt>
                <c:pt idx="56">
                  <c:v>0.90091863079201939</c:v>
                </c:pt>
                <c:pt idx="57">
                  <c:v>0.90225208067855389</c:v>
                </c:pt>
                <c:pt idx="58">
                  <c:v>0.90358033165856577</c:v>
                </c:pt>
                <c:pt idx="59">
                  <c:v>0.90490312572496279</c:v>
                </c:pt>
                <c:pt idx="60">
                  <c:v>0.90622019925924036</c:v>
                </c:pt>
                <c:pt idx="61">
                  <c:v>0.90753128294697794</c:v>
                </c:pt>
                <c:pt idx="62">
                  <c:v>0.90883610169331253</c:v>
                </c:pt>
                <c:pt idx="63">
                  <c:v>0.91013437453841717</c:v>
                </c:pt>
                <c:pt idx="64">
                  <c:v>0.91142581457312277</c:v>
                </c:pt>
                <c:pt idx="65">
                  <c:v>0.91271012885469172</c:v>
                </c:pt>
                <c:pt idx="66">
                  <c:v>0.91398701832288798</c:v>
                </c:pt>
                <c:pt idx="67">
                  <c:v>0.91525617771635415</c:v>
                </c:pt>
                <c:pt idx="68">
                  <c:v>0.91651729548947891</c:v>
                </c:pt>
                <c:pt idx="69">
                  <c:v>0.91777005372974352</c:v>
                </c:pt>
                <c:pt idx="70">
                  <c:v>0.91901412807572647</c:v>
                </c:pt>
                <c:pt idx="71">
                  <c:v>0.92024918763583752</c:v>
                </c:pt>
                <c:pt idx="72">
                  <c:v>0.92147489490787182</c:v>
                </c:pt>
                <c:pt idx="73">
                  <c:v>0.92269090569952672</c:v>
                </c:pt>
                <c:pt idx="74">
                  <c:v>0.92389686904997503</c:v>
                </c:pt>
                <c:pt idx="75">
                  <c:v>0.92509242715262918</c:v>
                </c:pt>
                <c:pt idx="76">
                  <c:v>0.92627721527922058</c:v>
                </c:pt>
                <c:pt idx="77">
                  <c:v>0.92745086170530722</c:v>
                </c:pt>
                <c:pt idx="78">
                  <c:v>0.92861298763738775</c:v>
                </c:pt>
                <c:pt idx="79">
                  <c:v>0.92976320714172078</c:v>
                </c:pt>
                <c:pt idx="80">
                  <c:v>0.93090112707502781</c:v>
                </c:pt>
                <c:pt idx="81">
                  <c:v>0.93202634701721698</c:v>
                </c:pt>
                <c:pt idx="82">
                  <c:v>0.93313845920630434</c:v>
                </c:pt>
                <c:pt idx="83">
                  <c:v>0.93423704847568279</c:v>
                </c:pt>
                <c:pt idx="84">
                  <c:v>0.93532169219391759</c:v>
                </c:pt>
                <c:pt idx="85">
                  <c:v>0.93639196020724069</c:v>
                </c:pt>
                <c:pt idx="86">
                  <c:v>0.9374474147849563</c:v>
                </c:pt>
                <c:pt idx="87">
                  <c:v>0.93848761056789987</c:v>
                </c:pt>
                <c:pt idx="88">
                  <c:v>0.93951209452018969</c:v>
                </c:pt>
                <c:pt idx="89">
                  <c:v>0.94052040588445651</c:v>
                </c:pt>
                <c:pt idx="90">
                  <c:v>0.94151207614075805</c:v>
                </c:pt>
                <c:pt idx="91">
                  <c:v>0.94248662896942381</c:v>
                </c:pt>
                <c:pt idx="92">
                  <c:v>0.94344358021798957</c:v>
                </c:pt>
                <c:pt idx="93">
                  <c:v>0.94438243787253318</c:v>
                </c:pt>
                <c:pt idx="94">
                  <c:v>0.94530270203358835</c:v>
                </c:pt>
                <c:pt idx="95">
                  <c:v>0.94620386489689501</c:v>
                </c:pt>
                <c:pt idx="96">
                  <c:v>0.94708541073923858</c:v>
                </c:pt>
                <c:pt idx="97">
                  <c:v>0.94794681590965579</c:v>
                </c:pt>
                <c:pt idx="98">
                  <c:v>0.94878754882620253</c:v>
                </c:pt>
                <c:pt idx="99">
                  <c:v>0.94960706997863786</c:v>
                </c:pt>
                <c:pt idx="100">
                  <c:v>0.95040483193723302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'Spectral forecast - on data'!$DD$2</c:f>
              <c:strCache>
                <c:ptCount val="1"/>
                <c:pt idx="0">
                  <c:v>M(-)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'Spectral forecast - on data'!$DD$3:$DD$103</c:f>
              <c:numCache>
                <c:formatCode>General</c:formatCode>
                <c:ptCount val="101"/>
                <c:pt idx="1">
                  <c:v>0.94138517060910687</c:v>
                </c:pt>
                <c:pt idx="2">
                  <c:v>0.94219462340267779</c:v>
                </c:pt>
                <c:pt idx="3">
                  <c:v>0.94300162662591391</c:v>
                </c:pt>
                <c:pt idx="4">
                  <c:v>0.94380606891200014</c:v>
                </c:pt>
                <c:pt idx="5">
                  <c:v>0.94460783655257097</c:v>
                </c:pt>
                <c:pt idx="6">
                  <c:v>0.94540681345617172</c:v>
                </c:pt>
                <c:pt idx="7">
                  <c:v>0.94620288110615303</c:v>
                </c:pt>
                <c:pt idx="8">
                  <c:v>0.94699591851802722</c:v>
                </c:pt>
                <c:pt idx="9">
                  <c:v>0.947785802196217</c:v>
                </c:pt>
                <c:pt idx="10">
                  <c:v>0.94857240609027393</c:v>
                </c:pt>
                <c:pt idx="11">
                  <c:v>0.94935560155053056</c:v>
                </c:pt>
                <c:pt idx="12">
                  <c:v>0.95013525728315296</c:v>
                </c:pt>
                <c:pt idx="13">
                  <c:v>0.95091123930468957</c:v>
                </c:pt>
                <c:pt idx="14">
                  <c:v>0.95168341089602049</c:v>
                </c:pt>
                <c:pt idx="15">
                  <c:v>0.9524516325557818</c:v>
                </c:pt>
                <c:pt idx="16">
                  <c:v>0.95321576195321467</c:v>
                </c:pt>
                <c:pt idx="17">
                  <c:v>0.95397565388049066</c:v>
                </c:pt>
                <c:pt idx="18">
                  <c:v>0.95473116020449078</c:v>
                </c:pt>
                <c:pt idx="19">
                  <c:v>0.95548212981805503</c:v>
                </c:pt>
                <c:pt idx="20">
                  <c:v>0.95622840859069658</c:v>
                </c:pt>
                <c:pt idx="21">
                  <c:v>0.95696983931880975</c:v>
                </c:pt>
                <c:pt idx="22">
                  <c:v>0.95770626167536299</c:v>
                </c:pt>
                <c:pt idx="23">
                  <c:v>0.95843751215909068</c:v>
                </c:pt>
                <c:pt idx="24">
                  <c:v>0.95916342404320265</c:v>
                </c:pt>
                <c:pt idx="25">
                  <c:v>0.95988382732360045</c:v>
                </c:pt>
                <c:pt idx="26">
                  <c:v>0.96059854866664462</c:v>
                </c:pt>
                <c:pt idx="27">
                  <c:v>0.96130741135646092</c:v>
                </c:pt>
                <c:pt idx="28">
                  <c:v>0.96201023524181384</c:v>
                </c:pt>
                <c:pt idx="29">
                  <c:v>0.96270683668253909</c:v>
                </c:pt>
                <c:pt idx="30">
                  <c:v>0.9633970284956056</c:v>
                </c:pt>
                <c:pt idx="31">
                  <c:v>0.96408061990075788</c:v>
                </c:pt>
                <c:pt idx="32">
                  <c:v>0.96475741646579616</c:v>
                </c:pt>
                <c:pt idx="33">
                  <c:v>0.96542722005154025</c:v>
                </c:pt>
                <c:pt idx="34">
                  <c:v>0.96608982875641203</c:v>
                </c:pt>
                <c:pt idx="35">
                  <c:v>0.96674503686077795</c:v>
                </c:pt>
                <c:pt idx="36">
                  <c:v>0.96739263477095672</c:v>
                </c:pt>
                <c:pt idx="37">
                  <c:v>0.96803240896303666</c:v>
                </c:pt>
                <c:pt idx="38">
                  <c:v>0.96866414192641681</c:v>
                </c:pt>
                <c:pt idx="39">
                  <c:v>0.96928761210718872</c:v>
                </c:pt>
                <c:pt idx="40">
                  <c:v>0.9699025938513629</c:v>
                </c:pt>
                <c:pt idx="41">
                  <c:v>0.97050885734793912</c:v>
                </c:pt>
                <c:pt idx="42">
                  <c:v>0.97110616857192245</c:v>
                </c:pt>
                <c:pt idx="43">
                  <c:v>0.97169428922726131</c:v>
                </c:pt>
                <c:pt idx="44">
                  <c:v>0.97227297668978474</c:v>
                </c:pt>
                <c:pt idx="45">
                  <c:v>0.97284198395016785</c:v>
                </c:pt>
                <c:pt idx="46">
                  <c:v>0.97340105955696232</c:v>
                </c:pt>
                <c:pt idx="47">
                  <c:v>0.97394994755975883</c:v>
                </c:pt>
                <c:pt idx="48">
                  <c:v>0.97448838745250488</c:v>
                </c:pt>
                <c:pt idx="49">
                  <c:v>0.97501611411704769</c:v>
                </c:pt>
                <c:pt idx="50">
                  <c:v>0.97553285776694831</c:v>
                </c:pt>
                <c:pt idx="51">
                  <c:v>0.97603834389162125</c:v>
                </c:pt>
                <c:pt idx="52">
                  <c:v>0.97653229320087265</c:v>
                </c:pt>
                <c:pt idx="53">
                  <c:v>0.97701442156985874</c:v>
                </c:pt>
                <c:pt idx="54">
                  <c:v>0.97748443998459711</c:v>
                </c:pt>
                <c:pt idx="55">
                  <c:v>0.97794205448801974</c:v>
                </c:pt>
                <c:pt idx="56">
                  <c:v>0.97838696612669585</c:v>
                </c:pt>
                <c:pt idx="57">
                  <c:v>0.97881887089828823</c:v>
                </c:pt>
                <c:pt idx="58">
                  <c:v>0.97923745969978027</c:v>
                </c:pt>
                <c:pt idx="59">
                  <c:v>0.97964241827660081</c:v>
                </c:pt>
                <c:pt idx="60">
                  <c:v>0.98003342717272512</c:v>
                </c:pt>
                <c:pt idx="61">
                  <c:v>0.98041016168178341</c:v>
                </c:pt>
                <c:pt idx="62">
                  <c:v>0.98077229179936731</c:v>
                </c:pt>
                <c:pt idx="63">
                  <c:v>0.98111948217651068</c:v>
                </c:pt>
                <c:pt idx="64">
                  <c:v>0.9814513920745408</c:v>
                </c:pt>
                <c:pt idx="65">
                  <c:v>0.98176767532134102</c:v>
                </c:pt>
                <c:pt idx="66">
                  <c:v>0.9820679802691693</c:v>
                </c:pt>
                <c:pt idx="67">
                  <c:v>0.9823519497540899</c:v>
                </c:pt>
                <c:pt idx="68">
                  <c:v>0.98261922105720545</c:v>
                </c:pt>
                <c:pt idx="69">
                  <c:v>0.98286942586772341</c:v>
                </c:pt>
                <c:pt idx="70">
                  <c:v>0.98310219024805001</c:v>
                </c:pt>
                <c:pt idx="71">
                  <c:v>0.98331713460099246</c:v>
                </c:pt>
                <c:pt idx="72">
                  <c:v>0.98351387363921683</c:v>
                </c:pt>
                <c:pt idx="73">
                  <c:v>0.98369201635708681</c:v>
                </c:pt>
                <c:pt idx="74">
                  <c:v>0.98385116600503031</c:v>
                </c:pt>
                <c:pt idx="75">
                  <c:v>0.98399092006659017</c:v>
                </c:pt>
                <c:pt idx="76">
                  <c:v>0.98411087023825983</c:v>
                </c:pt>
                <c:pt idx="77">
                  <c:v>0.98421060241230929</c:v>
                </c:pt>
                <c:pt idx="78">
                  <c:v>0.9842896966627348</c:v>
                </c:pt>
                <c:pt idx="79">
                  <c:v>0.98434772723448649</c:v>
                </c:pt>
                <c:pt idx="80">
                  <c:v>0.98438426253615707</c:v>
                </c:pt>
                <c:pt idx="81">
                  <c:v>0.98439886513629238</c:v>
                </c:pt>
                <c:pt idx="82">
                  <c:v>0.98439109176350625</c:v>
                </c:pt>
                <c:pt idx="83">
                  <c:v>0.98436049331056286</c:v>
                </c:pt>
                <c:pt idx="84">
                  <c:v>0.98430661484264881</c:v>
                </c:pt>
                <c:pt idx="85">
                  <c:v>0.98422899560997856</c:v>
                </c:pt>
                <c:pt idx="86">
                  <c:v>0.98412716906497633</c:v>
                </c:pt>
                <c:pt idx="87">
                  <c:v>0.98400066288418486</c:v>
                </c:pt>
                <c:pt idx="88">
                  <c:v>0.98384899899513967</c:v>
                </c:pt>
                <c:pt idx="89">
                  <c:v>0.98367169360842432</c:v>
                </c:pt>
                <c:pt idx="90">
                  <c:v>0.98346825725507681</c:v>
                </c:pt>
                <c:pt idx="91">
                  <c:v>0.98323819482960839</c:v>
                </c:pt>
                <c:pt idx="92">
                  <c:v>0.98298100563883462</c:v>
                </c:pt>
                <c:pt idx="93">
                  <c:v>0.98269618345675402</c:v>
                </c:pt>
                <c:pt idx="94">
                  <c:v>0.98238321658570904</c:v>
                </c:pt>
                <c:pt idx="95">
                  <c:v>0.98204158792403062</c:v>
                </c:pt>
                <c:pt idx="96">
                  <c:v>0.98167077504045652</c:v>
                </c:pt>
                <c:pt idx="97">
                  <c:v>0.98127025025552284</c:v>
                </c:pt>
                <c:pt idx="98">
                  <c:v>0.98083948073020011</c:v>
                </c:pt>
                <c:pt idx="99">
                  <c:v>0.9803779285619888</c:v>
                </c:pt>
                <c:pt idx="100">
                  <c:v>0.97988505088877353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'Spectral forecast - on data'!$DE$2</c:f>
              <c:strCache>
                <c:ptCount val="1"/>
                <c:pt idx="0">
                  <c:v>F(+)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'Spectral forecast - on data'!$DE$3:$DE$103</c:f>
              <c:numCache>
                <c:formatCode>General</c:formatCode>
                <c:ptCount val="101"/>
                <c:pt idx="1">
                  <c:v>0.98947887596682493</c:v>
                </c:pt>
                <c:pt idx="2">
                  <c:v>0.98942696635100691</c:v>
                </c:pt>
                <c:pt idx="3">
                  <c:v>0.98936658769681607</c:v>
                </c:pt>
                <c:pt idx="4">
                  <c:v>0.98929758798167278</c:v>
                </c:pt>
                <c:pt idx="5">
                  <c:v>0.98921981282972515</c:v>
                </c:pt>
                <c:pt idx="6">
                  <c:v>0.98913310548114652</c:v>
                </c:pt>
                <c:pt idx="7">
                  <c:v>0.98903730676131552</c:v>
                </c:pt>
                <c:pt idx="8">
                  <c:v>0.9889322550498284</c:v>
                </c:pt>
                <c:pt idx="9">
                  <c:v>0.98881778624937233</c:v>
                </c:pt>
                <c:pt idx="10">
                  <c:v>0.98869373375449332</c:v>
                </c:pt>
                <c:pt idx="11">
                  <c:v>0.98855992842023288</c:v>
                </c:pt>
                <c:pt idx="12">
                  <c:v>0.9884161985306994</c:v>
                </c:pt>
                <c:pt idx="13">
                  <c:v>0.98826236976751647</c:v>
                </c:pt>
                <c:pt idx="14">
                  <c:v>0.98809826517824795</c:v>
                </c:pt>
                <c:pt idx="15">
                  <c:v>0.98792370514475392</c:v>
                </c:pt>
                <c:pt idx="16">
                  <c:v>0.98773850735151458</c:v>
                </c:pt>
                <c:pt idx="17">
                  <c:v>0.98754248675394352</c:v>
                </c:pt>
                <c:pt idx="18">
                  <c:v>0.98733545554671476</c:v>
                </c:pt>
                <c:pt idx="19">
                  <c:v>0.98711722313210193</c:v>
                </c:pt>
                <c:pt idx="20">
                  <c:v>0.98688759608838716</c:v>
                </c:pt>
                <c:pt idx="21">
                  <c:v>0.98664637813830725</c:v>
                </c:pt>
                <c:pt idx="22">
                  <c:v>0.98639337011762607</c:v>
                </c:pt>
                <c:pt idx="23">
                  <c:v>0.98612836994380304</c:v>
                </c:pt>
                <c:pt idx="24">
                  <c:v>0.98585117258481714</c:v>
                </c:pt>
                <c:pt idx="25">
                  <c:v>0.98556157002815148</c:v>
                </c:pt>
                <c:pt idx="26">
                  <c:v>0.98525935124998087</c:v>
                </c:pt>
                <c:pt idx="27">
                  <c:v>0.98494430218458906</c:v>
                </c:pt>
                <c:pt idx="28">
                  <c:v>0.98461620569404051</c:v>
                </c:pt>
                <c:pt idx="29">
                  <c:v>0.98427484153813527</c:v>
                </c:pt>
                <c:pt idx="30">
                  <c:v>0.98391998634471733</c:v>
                </c:pt>
                <c:pt idx="31">
                  <c:v>0.9835514135802883</c:v>
                </c:pt>
                <c:pt idx="32">
                  <c:v>0.98316889352107273</c:v>
                </c:pt>
                <c:pt idx="33">
                  <c:v>0.98277219322447329</c:v>
                </c:pt>
                <c:pt idx="34">
                  <c:v>0.98236107650103155</c:v>
                </c:pt>
                <c:pt idx="35">
                  <c:v>0.98193530388687134</c:v>
                </c:pt>
                <c:pt idx="36">
                  <c:v>0.9814946326167201</c:v>
                </c:pt>
                <c:pt idx="37">
                  <c:v>0.98103881659752568</c:v>
                </c:pt>
                <c:pt idx="38">
                  <c:v>0.98056760638271034</c:v>
                </c:pt>
                <c:pt idx="39">
                  <c:v>0.98008074914714083</c:v>
                </c:pt>
                <c:pt idx="40">
                  <c:v>0.97957798866281653</c:v>
                </c:pt>
                <c:pt idx="41">
                  <c:v>0.97905906527538777</c:v>
                </c:pt>
                <c:pt idx="42">
                  <c:v>0.97852371588148968</c:v>
                </c:pt>
                <c:pt idx="43">
                  <c:v>0.97797167390701845</c:v>
                </c:pt>
                <c:pt idx="44">
                  <c:v>0.97740266928634267</c:v>
                </c:pt>
                <c:pt idx="45">
                  <c:v>0.97681642844255889</c:v>
                </c:pt>
                <c:pt idx="46">
                  <c:v>0.97621267426883529</c:v>
                </c:pt>
                <c:pt idx="47">
                  <c:v>0.97559112611090526</c:v>
                </c:pt>
                <c:pt idx="48">
                  <c:v>0.9749514997507599</c:v>
                </c:pt>
                <c:pt idx="49">
                  <c:v>0.97429350739167719</c:v>
                </c:pt>
                <c:pt idx="50">
                  <c:v>0.97361685764456019</c:v>
                </c:pt>
                <c:pt idx="51">
                  <c:v>0.97292125551574771</c:v>
                </c:pt>
                <c:pt idx="52">
                  <c:v>0.97220640239631728</c:v>
                </c:pt>
                <c:pt idx="53">
                  <c:v>0.97147199605298129</c:v>
                </c:pt>
                <c:pt idx="54">
                  <c:v>0.97071773062066202</c:v>
                </c:pt>
                <c:pt idx="55">
                  <c:v>0.96994329659682066</c:v>
                </c:pt>
                <c:pt idx="56">
                  <c:v>0.96914838083762755</c:v>
                </c:pt>
                <c:pt idx="57">
                  <c:v>0.96833266655606487</c:v>
                </c:pt>
                <c:pt idx="58">
                  <c:v>0.96749583332205558</c:v>
                </c:pt>
                <c:pt idx="59">
                  <c:v>0.96663755706472887</c:v>
                </c:pt>
                <c:pt idx="60">
                  <c:v>0.96575751007687161</c:v>
                </c:pt>
                <c:pt idx="61">
                  <c:v>0.96485536102173974</c:v>
                </c:pt>
                <c:pt idx="62">
                  <c:v>0.96393077494226831</c:v>
                </c:pt>
                <c:pt idx="63">
                  <c:v>0.96298341327281134</c:v>
                </c:pt>
                <c:pt idx="64">
                  <c:v>0.96201293385354092</c:v>
                </c:pt>
                <c:pt idx="65">
                  <c:v>0.96101899094758125</c:v>
                </c:pt>
                <c:pt idx="66">
                  <c:v>0.96000123526102898</c:v>
                </c:pt>
                <c:pt idx="67">
                  <c:v>0.95895931396593936</c:v>
                </c:pt>
                <c:pt idx="68">
                  <c:v>0.95789287072645579</c:v>
                </c:pt>
                <c:pt idx="69">
                  <c:v>0.95680154572813125</c:v>
                </c:pt>
                <c:pt idx="70">
                  <c:v>0.95568497571065103</c:v>
                </c:pt>
                <c:pt idx="71">
                  <c:v>0.95454279400402031</c:v>
                </c:pt>
                <c:pt idx="72">
                  <c:v>0.95337463056840066</c:v>
                </c:pt>
                <c:pt idx="73">
                  <c:v>0.95218011203769548</c:v>
                </c:pt>
                <c:pt idx="74">
                  <c:v>0.95095886176703914</c:v>
                </c:pt>
                <c:pt idx="75">
                  <c:v>0.94971049988433864</c:v>
                </c:pt>
                <c:pt idx="76">
                  <c:v>0.94843464334600713</c:v>
                </c:pt>
                <c:pt idx="77">
                  <c:v>0.94713090599703187</c:v>
                </c:pt>
                <c:pt idx="78">
                  <c:v>0.94579889863553102</c:v>
                </c:pt>
                <c:pt idx="79">
                  <c:v>0.94443822908196062</c:v>
                </c:pt>
                <c:pt idx="80">
                  <c:v>0.94304850225311765</c:v>
                </c:pt>
                <c:pt idx="81">
                  <c:v>0.94162932024110779</c:v>
                </c:pt>
                <c:pt idx="82">
                  <c:v>0.94018028239742701</c:v>
                </c:pt>
                <c:pt idx="83">
                  <c:v>0.93870098542233027</c:v>
                </c:pt>
                <c:pt idx="84">
                  <c:v>0.93719102345965188</c:v>
                </c:pt>
                <c:pt idx="85">
                  <c:v>0.935649988197232</c:v>
                </c:pt>
                <c:pt idx="86">
                  <c:v>0.93407746897315258</c:v>
                </c:pt>
                <c:pt idx="87">
                  <c:v>0.93247305288790172</c:v>
                </c:pt>
                <c:pt idx="88">
                  <c:v>0.93083632492269652</c:v>
                </c:pt>
                <c:pt idx="89">
                  <c:v>0.92916686806408721</c:v>
                </c:pt>
                <c:pt idx="90">
                  <c:v>0.92746426343505528</c:v>
                </c:pt>
                <c:pt idx="91">
                  <c:v>0.92572809043276771</c:v>
                </c:pt>
                <c:pt idx="92">
                  <c:v>0.92395792687314426</c:v>
                </c:pt>
                <c:pt idx="93">
                  <c:v>0.92215334914246361</c:v>
                </c:pt>
                <c:pt idx="94">
                  <c:v>0.92031393235612813</c:v>
                </c:pt>
                <c:pt idx="95">
                  <c:v>0.91843925052480557</c:v>
                </c:pt>
                <c:pt idx="96">
                  <c:v>0.91652887672810823</c:v>
                </c:pt>
                <c:pt idx="97">
                  <c:v>0.91458238329597641</c:v>
                </c:pt>
                <c:pt idx="98">
                  <c:v>0.91259934199795811</c:v>
                </c:pt>
                <c:pt idx="99">
                  <c:v>0.91057932424054711</c:v>
                </c:pt>
                <c:pt idx="100">
                  <c:v>0.9085219012727398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'Spectral forecast - on data'!$DF$2</c:f>
              <c:strCache>
                <c:ptCount val="1"/>
                <c:pt idx="0">
                  <c:v>M(+)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'Spectral forecast - on data'!$DF$3:$DF$103</c:f>
              <c:numCache>
                <c:formatCode>General</c:formatCode>
                <c:ptCount val="101"/>
                <c:pt idx="1">
                  <c:v>0.99495627685208388</c:v>
                </c:pt>
                <c:pt idx="2">
                  <c:v>0.99497192656572686</c:v>
                </c:pt>
                <c:pt idx="3">
                  <c:v>0.99497947447976487</c:v>
                </c:pt>
                <c:pt idx="4">
                  <c:v>0.99497876982506794</c:v>
                </c:pt>
                <c:pt idx="5">
                  <c:v>0.99496965944970717</c:v>
                </c:pt>
                <c:pt idx="6">
                  <c:v>0.99495198778700611</c:v>
                </c:pt>
                <c:pt idx="7">
                  <c:v>0.99492559682342274</c:v>
                </c:pt>
                <c:pt idx="8">
                  <c:v>0.99489032606624306</c:v>
                </c:pt>
                <c:pt idx="9">
                  <c:v>0.99484601251108307</c:v>
                </c:pt>
                <c:pt idx="10">
                  <c:v>0.99479249060926866</c:v>
                </c:pt>
                <c:pt idx="11">
                  <c:v>0.99472959223502488</c:v>
                </c:pt>
                <c:pt idx="12">
                  <c:v>0.99465714665258698</c:v>
                </c:pt>
                <c:pt idx="13">
                  <c:v>0.99457498048312121</c:v>
                </c:pt>
                <c:pt idx="14">
                  <c:v>0.99448291767161134</c:v>
                </c:pt>
                <c:pt idx="15">
                  <c:v>0.99438077945360759</c:v>
                </c:pt>
                <c:pt idx="16">
                  <c:v>0.99426838432192277</c:v>
                </c:pt>
                <c:pt idx="17">
                  <c:v>0.99414554799327348</c:v>
                </c:pt>
                <c:pt idx="18">
                  <c:v>0.99401208337487479</c:v>
                </c:pt>
                <c:pt idx="19">
                  <c:v>0.9938678005310283</c:v>
                </c:pt>
                <c:pt idx="20">
                  <c:v>0.99371250664970467</c:v>
                </c:pt>
                <c:pt idx="21">
                  <c:v>0.99354600600915877</c:v>
                </c:pt>
                <c:pt idx="22">
                  <c:v>0.99336809994458275</c:v>
                </c:pt>
                <c:pt idx="23">
                  <c:v>0.99317858681483118</c:v>
                </c:pt>
                <c:pt idx="24">
                  <c:v>0.99297726196924685</c:v>
                </c:pt>
                <c:pt idx="25">
                  <c:v>0.99276391771460304</c:v>
                </c:pt>
                <c:pt idx="26">
                  <c:v>0.99253834328219537</c:v>
                </c:pt>
                <c:pt idx="27">
                  <c:v>0.9923003247951061</c:v>
                </c:pt>
                <c:pt idx="28">
                  <c:v>0.99204964523568606</c:v>
                </c:pt>
                <c:pt idx="29">
                  <c:v>0.991786084413249</c:v>
                </c:pt>
                <c:pt idx="30">
                  <c:v>0.99150941893207489</c:v>
                </c:pt>
                <c:pt idx="31">
                  <c:v>0.99121942215967984</c:v>
                </c:pt>
                <c:pt idx="32">
                  <c:v>0.99091586419544542</c:v>
                </c:pt>
                <c:pt idx="33">
                  <c:v>0.99059851183962166</c:v>
                </c:pt>
                <c:pt idx="34">
                  <c:v>0.9902671285627429</c:v>
                </c:pt>
                <c:pt idx="35">
                  <c:v>0.98992147447549617</c:v>
                </c:pt>
                <c:pt idx="36">
                  <c:v>0.98956130629910077</c:v>
                </c:pt>
                <c:pt idx="37">
                  <c:v>0.9891863773362044</c:v>
                </c:pt>
                <c:pt idx="38">
                  <c:v>0.98879643744239254</c:v>
                </c:pt>
                <c:pt idx="39">
                  <c:v>0.98839123299832132</c:v>
                </c:pt>
                <c:pt idx="40">
                  <c:v>0.98797050688252386</c:v>
                </c:pt>
                <c:pt idx="41">
                  <c:v>0.98753399844496881</c:v>
                </c:pt>
                <c:pt idx="42">
                  <c:v>0.98708144348138971</c:v>
                </c:pt>
                <c:pt idx="43">
                  <c:v>0.98661257420847315</c:v>
                </c:pt>
                <c:pt idx="44">
                  <c:v>0.98612711923993446</c:v>
                </c:pt>
                <c:pt idx="45">
                  <c:v>0.9856248035635724</c:v>
                </c:pt>
                <c:pt idx="46">
                  <c:v>0.98510534851931031</c:v>
                </c:pt>
                <c:pt idx="47">
                  <c:v>0.98456847177837148</c:v>
                </c:pt>
                <c:pt idx="48">
                  <c:v>0.98401388732355632</c:v>
                </c:pt>
                <c:pt idx="49">
                  <c:v>0.9834413054307819</c:v>
                </c:pt>
                <c:pt idx="50">
                  <c:v>0.98285043265189453</c:v>
                </c:pt>
                <c:pt idx="51">
                  <c:v>0.98224097179883807</c:v>
                </c:pt>
                <c:pt idx="52">
                  <c:v>0.98161262192929832</c:v>
                </c:pt>
                <c:pt idx="53">
                  <c:v>0.98096507833382174</c:v>
                </c:pt>
                <c:pt idx="54">
                  <c:v>0.98029803252457826</c:v>
                </c:pt>
                <c:pt idx="55">
                  <c:v>0.97961117222579464</c:v>
                </c:pt>
                <c:pt idx="56">
                  <c:v>0.97890418136594015</c:v>
                </c:pt>
                <c:pt idx="57">
                  <c:v>0.97817674007181632</c:v>
                </c:pt>
                <c:pt idx="58">
                  <c:v>0.97742852466456609</c:v>
                </c:pt>
                <c:pt idx="59">
                  <c:v>0.97665920765775061</c:v>
                </c:pt>
                <c:pt idx="60">
                  <c:v>0.97586845775757236</c:v>
                </c:pt>
                <c:pt idx="61">
                  <c:v>0.97505593986534322</c:v>
                </c:pt>
                <c:pt idx="62">
                  <c:v>0.97422131508231202</c:v>
                </c:pt>
                <c:pt idx="63">
                  <c:v>0.97336424071695193</c:v>
                </c:pt>
                <c:pt idx="64">
                  <c:v>0.97248437029481472</c:v>
                </c:pt>
                <c:pt idx="65">
                  <c:v>0.97158135357107533</c:v>
                </c:pt>
                <c:pt idx="66">
                  <c:v>0.97065483654587426</c:v>
                </c:pt>
                <c:pt idx="67">
                  <c:v>0.96970446148257183</c:v>
                </c:pt>
                <c:pt idx="68">
                  <c:v>0.9687298669290787</c:v>
                </c:pt>
                <c:pt idx="69">
                  <c:v>0.96773068774230386</c:v>
                </c:pt>
                <c:pt idx="70">
                  <c:v>0.96670655511594072</c:v>
                </c:pt>
                <c:pt idx="71">
                  <c:v>0.96565709661167054</c:v>
                </c:pt>
                <c:pt idx="72">
                  <c:v>0.96458193619392407</c:v>
                </c:pt>
                <c:pt idx="73">
                  <c:v>0.96348069426835758</c:v>
                </c:pt>
                <c:pt idx="74">
                  <c:v>0.96235298772415634</c:v>
                </c:pt>
                <c:pt idx="75">
                  <c:v>0.9611984299803612</c:v>
                </c:pt>
                <c:pt idx="76">
                  <c:v>0.96001663103628254</c:v>
                </c:pt>
                <c:pt idx="77">
                  <c:v>0.95880719752625343</c:v>
                </c:pt>
                <c:pt idx="78">
                  <c:v>0.95756973277877155</c:v>
                </c:pt>
                <c:pt idx="79">
                  <c:v>0.95630383688028953</c:v>
                </c:pt>
                <c:pt idx="80">
                  <c:v>0.95500910674371775</c:v>
                </c:pt>
                <c:pt idx="81">
                  <c:v>0.95368513618187745</c:v>
                </c:pt>
                <c:pt idx="82">
                  <c:v>0.95233151598600496</c:v>
                </c:pt>
                <c:pt idx="83">
                  <c:v>0.95094783400953309</c:v>
                </c:pt>
                <c:pt idx="84">
                  <c:v>0.94953367525727772</c:v>
                </c:pt>
                <c:pt idx="85">
                  <c:v>0.94808862198021315</c:v>
                </c:pt>
                <c:pt idx="86">
                  <c:v>0.9466122537760161</c:v>
                </c:pt>
                <c:pt idx="87">
                  <c:v>0.94510414769554885</c:v>
                </c:pt>
                <c:pt idx="88">
                  <c:v>0.94356387835544842</c:v>
                </c:pt>
                <c:pt idx="89">
                  <c:v>0.94199101805702956</c:v>
                </c:pt>
                <c:pt idx="90">
                  <c:v>0.94038513691165548</c:v>
                </c:pt>
                <c:pt idx="91">
                  <c:v>0.93874580297275534</c:v>
                </c:pt>
                <c:pt idx="92">
                  <c:v>0.93707258237470026</c:v>
                </c:pt>
                <c:pt idx="93">
                  <c:v>0.93536503947868455</c:v>
                </c:pt>
                <c:pt idx="94">
                  <c:v>0.93362273702584109</c:v>
                </c:pt>
                <c:pt idx="95">
                  <c:v>0.93184523629770744</c:v>
                </c:pt>
                <c:pt idx="96">
                  <c:v>0.93003209728429603</c:v>
                </c:pt>
                <c:pt idx="97">
                  <c:v>0.92818287885991335</c:v>
                </c:pt>
                <c:pt idx="98">
                  <c:v>0.9262971389669068</c:v>
                </c:pt>
                <c:pt idx="99">
                  <c:v>0.92437443480753267</c:v>
                </c:pt>
                <c:pt idx="100">
                  <c:v>0.92241432304413107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9730264"/>
        <c:axId val="269736144"/>
      </c:lineChart>
      <c:catAx>
        <c:axId val="269730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36144"/>
        <c:crosses val="autoZero"/>
        <c:auto val="1"/>
        <c:lblAlgn val="ctr"/>
        <c:lblOffset val="100"/>
        <c:noMultiLvlLbl val="0"/>
      </c:catAx>
      <c:valAx>
        <c:axId val="269736144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3026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'Spectral forecast - on data'!$CZ$2:$CZ$3</c:f>
              <c:strCache>
                <c:ptCount val="2"/>
                <c:pt idx="0">
                  <c:v>List of  similarity values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'Spectral forecast - on data'!$CZ$4:$CZ$103</c:f>
              <c:numCache>
                <c:formatCode>General</c:formatCode>
                <c:ptCount val="100"/>
                <c:pt idx="0">
                  <c:v>0.8133670011244527</c:v>
                </c:pt>
                <c:pt idx="1">
                  <c:v>0.81367599882515862</c:v>
                </c:pt>
                <c:pt idx="2">
                  <c:v>0.8139802459584089</c:v>
                </c:pt>
                <c:pt idx="3">
                  <c:v>0.81427962961038636</c:v>
                </c:pt>
                <c:pt idx="4">
                  <c:v>0.81457403486610969</c:v>
                </c:pt>
                <c:pt idx="5">
                  <c:v>0.8148633447788165</c:v>
                </c:pt>
                <c:pt idx="6">
                  <c:v>0.81514744033906716</c:v>
                </c:pt>
                <c:pt idx="7">
                  <c:v>0.81542620044354175</c:v>
                </c:pt>
                <c:pt idx="8">
                  <c:v>0.81569950186354523</c:v>
                </c:pt>
                <c:pt idx="9">
                  <c:v>0.81596721921323334</c:v>
                </c:pt>
                <c:pt idx="10">
                  <c:v>0.81622922491754879</c:v>
                </c:pt>
                <c:pt idx="11">
                  <c:v>0.81648538917989177</c:v>
                </c:pt>
                <c:pt idx="12">
                  <c:v>0.81673557994952684</c:v>
                </c:pt>
                <c:pt idx="13">
                  <c:v>0.81697966288872725</c:v>
                </c:pt>
                <c:pt idx="14">
                  <c:v>0.8172175013396713</c:v>
                </c:pt>
                <c:pt idx="15">
                  <c:v>0.81744895629111036</c:v>
                </c:pt>
                <c:pt idx="16">
                  <c:v>0.81767388634479188</c:v>
                </c:pt>
                <c:pt idx="17">
                  <c:v>0.81789214768167229</c:v>
                </c:pt>
                <c:pt idx="18">
                  <c:v>0.81810359402792499</c:v>
                </c:pt>
                <c:pt idx="19">
                  <c:v>0.81830807662075511</c:v>
                </c:pt>
                <c:pt idx="20">
                  <c:v>0.81850544417401905</c:v>
                </c:pt>
                <c:pt idx="21">
                  <c:v>0.81869554284369905</c:v>
                </c:pt>
                <c:pt idx="22">
                  <c:v>0.8188782161932</c:v>
                </c:pt>
                <c:pt idx="23">
                  <c:v>0.81905330515852803</c:v>
                </c:pt>
                <c:pt idx="24">
                  <c:v>0.81922064801334382</c:v>
                </c:pt>
                <c:pt idx="25">
                  <c:v>0.81938008033389909</c:v>
                </c:pt>
                <c:pt idx="26">
                  <c:v>0.81953143496391234</c:v>
                </c:pt>
                <c:pt idx="27">
                  <c:v>0.81967454197935463</c:v>
                </c:pt>
                <c:pt idx="28">
                  <c:v>0.81980922865320416</c:v>
                </c:pt>
                <c:pt idx="29">
                  <c:v>0.81993531942018105</c:v>
                </c:pt>
                <c:pt idx="30">
                  <c:v>0.82005263584146926</c:v>
                </c:pt>
                <c:pt idx="31">
                  <c:v>0.82016099656946972</c:v>
                </c:pt>
                <c:pt idx="32">
                  <c:v>0.82026021731260279</c:v>
                </c:pt>
                <c:pt idx="33">
                  <c:v>0.82035011080018916</c:v>
                </c:pt>
                <c:pt idx="34">
                  <c:v>0.82043048674742425</c:v>
                </c:pt>
                <c:pt idx="35">
                  <c:v>0.82050115182048677</c:v>
                </c:pt>
                <c:pt idx="36">
                  <c:v>0.82056190960183051</c:v>
                </c:pt>
                <c:pt idx="37">
                  <c:v>0.82061256055564169</c:v>
                </c:pt>
                <c:pt idx="38">
                  <c:v>0.82065290199354957</c:v>
                </c:pt>
                <c:pt idx="39">
                  <c:v>0.82068272804058229</c:v>
                </c:pt>
                <c:pt idx="40">
                  <c:v>0.82070182960145144</c:v>
                </c:pt>
                <c:pt idx="41">
                  <c:v>0.82070999432712932</c:v>
                </c:pt>
                <c:pt idx="42">
                  <c:v>0.82070700658186668</c:v>
                </c:pt>
                <c:pt idx="43">
                  <c:v>0.82069264741058112</c:v>
                </c:pt>
                <c:pt idx="44">
                  <c:v>0.82066669450674024</c:v>
                </c:pt>
                <c:pt idx="45">
                  <c:v>0.82062892218073702</c:v>
                </c:pt>
                <c:pt idx="46">
                  <c:v>0.82057910132884648</c:v>
                </c:pt>
                <c:pt idx="47">
                  <c:v>0.82051699940276623</c:v>
                </c:pt>
                <c:pt idx="48">
                  <c:v>0.8204423803798363</c:v>
                </c:pt>
                <c:pt idx="49">
                  <c:v>0.82035500473396006</c:v>
                </c:pt>
                <c:pt idx="50">
                  <c:v>0.82025462940729965</c:v>
                </c:pt>
                <c:pt idx="51">
                  <c:v>0.8201410077828013</c:v>
                </c:pt>
                <c:pt idx="52">
                  <c:v>0.82001388965759425</c:v>
                </c:pt>
                <c:pt idx="53">
                  <c:v>0.81987302121737127</c:v>
                </c:pt>
                <c:pt idx="54">
                  <c:v>0.81971814501173379</c:v>
                </c:pt>
                <c:pt idx="55">
                  <c:v>0.81954899993067465</c:v>
                </c:pt>
                <c:pt idx="56">
                  <c:v>0.81936532118217043</c:v>
                </c:pt>
                <c:pt idx="57">
                  <c:v>0.81916684027102316</c:v>
                </c:pt>
                <c:pt idx="58">
                  <c:v>0.8189532849789799</c:v>
                </c:pt>
                <c:pt idx="59">
                  <c:v>0.81872437934625919</c:v>
                </c:pt>
                <c:pt idx="60">
                  <c:v>0.81847984365449156</c:v>
                </c:pt>
                <c:pt idx="61">
                  <c:v>0.81821939441125002</c:v>
                </c:pt>
                <c:pt idx="62">
                  <c:v>0.81794274433615499</c:v>
                </c:pt>
                <c:pt idx="63">
                  <c:v>0.81764960234873962</c:v>
                </c:pt>
                <c:pt idx="64">
                  <c:v>0.81733967355808246</c:v>
                </c:pt>
                <c:pt idx="65">
                  <c:v>0.81701265925436051</c:v>
                </c:pt>
                <c:pt idx="66">
                  <c:v>0.81666825690239153</c:v>
                </c:pt>
                <c:pt idx="67">
                  <c:v>0.81630616013727963</c:v>
                </c:pt>
                <c:pt idx="68">
                  <c:v>0.81592605876225055</c:v>
                </c:pt>
                <c:pt idx="69">
                  <c:v>0.81552763874880096</c:v>
                </c:pt>
                <c:pt idx="70">
                  <c:v>0.81511058223925936</c:v>
                </c:pt>
                <c:pt idx="71">
                  <c:v>0.81467456755187817</c:v>
                </c:pt>
                <c:pt idx="72">
                  <c:v>0.81421926918856502</c:v>
                </c:pt>
                <c:pt idx="73">
                  <c:v>0.8137443578453748</c:v>
                </c:pt>
                <c:pt idx="74">
                  <c:v>0.81324950042589816</c:v>
                </c:pt>
                <c:pt idx="75">
                  <c:v>0.81273436005763777</c:v>
                </c:pt>
                <c:pt idx="76">
                  <c:v>0.81219859611154344</c:v>
                </c:pt>
                <c:pt idx="77">
                  <c:v>0.81164186422479812</c:v>
                </c:pt>
                <c:pt idx="78">
                  <c:v>0.81106381632700963</c:v>
                </c:pt>
                <c:pt idx="79">
                  <c:v>0.810464100669953</c:v>
                </c:pt>
                <c:pt idx="80">
                  <c:v>0.80984236186098146</c:v>
                </c:pt>
                <c:pt idx="81">
                  <c:v>0.80919824090025705</c:v>
                </c:pt>
                <c:pt idx="82">
                  <c:v>0.80853137522197183</c:v>
                </c:pt>
                <c:pt idx="83">
                  <c:v>0.80784139873966321</c:v>
                </c:pt>
                <c:pt idx="84">
                  <c:v>0.80712794189581516</c:v>
                </c:pt>
                <c:pt idx="85">
                  <c:v>0.80639063171588365</c:v>
                </c:pt>
                <c:pt idx="86">
                  <c:v>0.80562909186690801</c:v>
                </c:pt>
                <c:pt idx="87">
                  <c:v>0.80484294272085755</c:v>
                </c:pt>
                <c:pt idx="88">
                  <c:v>0.80403180142289254</c:v>
                </c:pt>
                <c:pt idx="89">
                  <c:v>0.80319528196469292</c:v>
                </c:pt>
                <c:pt idx="90">
                  <c:v>0.80233299526303725</c:v>
                </c:pt>
                <c:pt idx="91">
                  <c:v>0.80144454924376329</c:v>
                </c:pt>
                <c:pt idx="92">
                  <c:v>0.80052954893133998</c:v>
                </c:pt>
                <c:pt idx="93">
                  <c:v>0.79958759654416312</c:v>
                </c:pt>
                <c:pt idx="94">
                  <c:v>0.79861829159579878</c:v>
                </c:pt>
                <c:pt idx="95">
                  <c:v>0.79762123100231352</c:v>
                </c:pt>
                <c:pt idx="96">
                  <c:v>0.79659600919587648</c:v>
                </c:pt>
                <c:pt idx="97">
                  <c:v>0.7955422182448485</c:v>
                </c:pt>
                <c:pt idx="98">
                  <c:v>0.79445944798046186</c:v>
                </c:pt>
                <c:pt idx="99">
                  <c:v>0.79334728613033612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9733792"/>
        <c:axId val="269731832"/>
      </c:lineChart>
      <c:catAx>
        <c:axId val="269733792"/>
        <c:scaling>
          <c:orientation val="minMax"/>
        </c:scaling>
        <c:delete val="0"/>
        <c:axPos val="b"/>
        <c:majorTickMark val="out"/>
        <c:minorTickMark val="in"/>
        <c:tickLblPos val="nextTo"/>
        <c:spPr>
          <a:noFill/>
          <a:ln w="31750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31832"/>
        <c:crosses val="autoZero"/>
        <c:auto val="1"/>
        <c:lblAlgn val="ctr"/>
        <c:lblOffset val="100"/>
        <c:tickLblSkip val="24"/>
        <c:tickMarkSkip val="25"/>
        <c:noMultiLvlLbl val="0"/>
      </c:catAx>
      <c:valAx>
        <c:axId val="269731832"/>
        <c:scaling>
          <c:orientation val="minMax"/>
        </c:scaling>
        <c:delete val="0"/>
        <c:axPos val="l"/>
        <c:majorGridlines>
          <c:spPr>
            <a:ln w="2857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in"/>
        <c:minorTickMark val="in"/>
        <c:tickLblPos val="nextTo"/>
        <c:spPr>
          <a:noFill/>
          <a:ln w="28575">
            <a:solidFill>
              <a:schemeClr val="tx1">
                <a:lumMod val="75000"/>
                <a:lumOff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3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'-'!$I$4:$I$103</c:f>
              <c:numCache>
                <c:formatCode>General</c:formatCode>
                <c:ptCount val="100"/>
                <c:pt idx="0">
                  <c:v>0.48562960861114968</c:v>
                </c:pt>
                <c:pt idx="1">
                  <c:v>0.48672833578618308</c:v>
                </c:pt>
                <c:pt idx="2">
                  <c:v>0.48783104142263822</c:v>
                </c:pt>
                <c:pt idx="3">
                  <c:v>0.48893770911338696</c:v>
                </c:pt>
                <c:pt idx="4">
                  <c:v>0.49004832139252763</c:v>
                </c:pt>
                <c:pt idx="5">
                  <c:v>0.49116285970722945</c:v>
                </c:pt>
                <c:pt idx="6">
                  <c:v>0.49228130438898754</c:v>
                </c:pt>
                <c:pt idx="7">
                  <c:v>0.49340363462426851</c:v>
                </c:pt>
                <c:pt idx="8">
                  <c:v>0.49452982842451648</c:v>
                </c:pt>
                <c:pt idx="9">
                  <c:v>0.49565986259554828</c:v>
                </c:pt>
                <c:pt idx="10">
                  <c:v>0.49679371270629136</c:v>
                </c:pt>
                <c:pt idx="11">
                  <c:v>0.49793135305687725</c:v>
                </c:pt>
                <c:pt idx="12">
                  <c:v>0.4990727566460742</c:v>
                </c:pt>
                <c:pt idx="13">
                  <c:v>0.50021789513804582</c:v>
                </c:pt>
                <c:pt idx="14">
                  <c:v>0.5013667388284343</c:v>
                </c:pt>
                <c:pt idx="15">
                  <c:v>0.50251925660975272</c:v>
                </c:pt>
                <c:pt idx="16">
                  <c:v>0.50367541593607956</c:v>
                </c:pt>
                <c:pt idx="17">
                  <c:v>0.50483518278704465</c:v>
                </c:pt>
                <c:pt idx="18">
                  <c:v>0.50599852163109793</c:v>
                </c:pt>
                <c:pt idx="19">
                  <c:v>0.5071653953880576</c:v>
                </c:pt>
                <c:pt idx="20">
                  <c:v>0.50833576539091763</c:v>
                </c:pt>
                <c:pt idx="21">
                  <c:v>0.50950959134691787</c:v>
                </c:pt>
                <c:pt idx="22">
                  <c:v>0.51068683129785719</c:v>
                </c:pt>
                <c:pt idx="23">
                  <c:v>0.51186744157965525</c:v>
                </c:pt>
                <c:pt idx="24">
                  <c:v>0.51305137678114265</c:v>
                </c:pt>
                <c:pt idx="25">
                  <c:v>0.51423858970207081</c:v>
                </c:pt>
                <c:pt idx="26">
                  <c:v>0.51542903131035289</c:v>
                </c:pt>
                <c:pt idx="27">
                  <c:v>0.51662265069850577</c:v>
                </c:pt>
                <c:pt idx="28">
                  <c:v>0.51781939503929308</c:v>
                </c:pt>
                <c:pt idx="29">
                  <c:v>0.51901920954057768</c:v>
                </c:pt>
                <c:pt idx="30">
                  <c:v>0.52022203739935935</c:v>
                </c:pt>
                <c:pt idx="31">
                  <c:v>0.52142781975499319</c:v>
                </c:pt>
                <c:pt idx="32">
                  <c:v>0.52263649564159853</c:v>
                </c:pt>
                <c:pt idx="33">
                  <c:v>0.52384800193964531</c:v>
                </c:pt>
                <c:pt idx="34">
                  <c:v>0.52506227332669808</c:v>
                </c:pt>
                <c:pt idx="35">
                  <c:v>0.52627924222734535</c:v>
                </c:pt>
                <c:pt idx="36">
                  <c:v>0.52749883876229253</c:v>
                </c:pt>
                <c:pt idx="37">
                  <c:v>0.52872099069660605</c:v>
                </c:pt>
                <c:pt idx="38">
                  <c:v>0.52994562338713225</c:v>
                </c:pt>
                <c:pt idx="39">
                  <c:v>0.53117265972907923</c:v>
                </c:pt>
                <c:pt idx="40">
                  <c:v>0.53240202010174764</c:v>
                </c:pt>
                <c:pt idx="41">
                  <c:v>0.53363362231343148</c:v>
                </c:pt>
                <c:pt idx="42">
                  <c:v>0.53486738154548441</c:v>
                </c:pt>
                <c:pt idx="43">
                  <c:v>0.53610321029554531</c:v>
                </c:pt>
                <c:pt idx="44">
                  <c:v>0.53734101831993697</c:v>
                </c:pt>
                <c:pt idx="45">
                  <c:v>0.53858071257523565</c:v>
                </c:pt>
                <c:pt idx="46">
                  <c:v>0.5398221971590299</c:v>
                </c:pt>
                <c:pt idx="47">
                  <c:v>0.54106537324984083</c:v>
                </c:pt>
                <c:pt idx="48">
                  <c:v>0.54231013904627201</c:v>
                </c:pt>
                <c:pt idx="49">
                  <c:v>0.54355638970532627</c:v>
                </c:pt>
                <c:pt idx="50">
                  <c:v>0.54480401727995065</c:v>
                </c:pt>
                <c:pt idx="51">
                  <c:v>0.54605291065582029</c:v>
                </c:pt>
                <c:pt idx="52">
                  <c:v>0.54730295548732799</c:v>
                </c:pt>
                <c:pt idx="53">
                  <c:v>0.5485540341328512</c:v>
                </c:pt>
                <c:pt idx="54">
                  <c:v>0.54980602558928027</c:v>
                </c:pt>
                <c:pt idx="55">
                  <c:v>0.55105880542582841</c:v>
                </c:pt>
                <c:pt idx="56">
                  <c:v>0.55231224571715087</c:v>
                </c:pt>
                <c:pt idx="57">
                  <c:v>0.55356621497579439</c:v>
                </c:pt>
                <c:pt idx="58">
                  <c:v>0.55482057808398844</c:v>
                </c:pt>
                <c:pt idx="59">
                  <c:v>0.55607519622481949</c:v>
                </c:pt>
                <c:pt idx="60">
                  <c:v>0.55732992681280957</c:v>
                </c:pt>
                <c:pt idx="61">
                  <c:v>0.55858462342391513</c:v>
                </c:pt>
                <c:pt idx="62">
                  <c:v>0.55983913572500332</c:v>
                </c:pt>
                <c:pt idx="63">
                  <c:v>0.56109330940281921</c:v>
                </c:pt>
                <c:pt idx="64">
                  <c:v>0.56234698609248546</c:v>
                </c:pt>
                <c:pt idx="65">
                  <c:v>0.56360000330558402</c:v>
                </c:pt>
                <c:pt idx="66">
                  <c:v>0.56485219435783685</c:v>
                </c:pt>
                <c:pt idx="67">
                  <c:v>0.56610338829645879</c:v>
                </c:pt>
                <c:pt idx="68">
                  <c:v>0.56735340982721338</c:v>
                </c:pt>
                <c:pt idx="69">
                  <c:v>0.56860207924121775</c:v>
                </c:pt>
                <c:pt idx="70">
                  <c:v>0.56984921234155972</c:v>
                </c:pt>
                <c:pt idx="71">
                  <c:v>0.5710946203697771</c:v>
                </c:pt>
                <c:pt idx="72">
                  <c:v>0.57233810993226641</c:v>
                </c:pt>
                <c:pt idx="73">
                  <c:v>0.5735794829266686</c:v>
                </c:pt>
                <c:pt idx="74">
                  <c:v>0.57481853646830516</c:v>
                </c:pt>
                <c:pt idx="75">
                  <c:v>0.57605506281674879</c:v>
                </c:pt>
                <c:pt idx="76">
                  <c:v>0.57728884930256996</c:v>
                </c:pt>
                <c:pt idx="77">
                  <c:v>0.57851967825436879</c:v>
                </c:pt>
                <c:pt idx="78">
                  <c:v>0.57974732692614706</c:v>
                </c:pt>
                <c:pt idx="79">
                  <c:v>0.58097156742512035</c:v>
                </c:pt>
                <c:pt idx="80">
                  <c:v>0.58219216664006024</c:v>
                </c:pt>
                <c:pt idx="81">
                  <c:v>0.58340888617024489</c:v>
                </c:pt>
                <c:pt idx="82">
                  <c:v>0.58462148225511967</c:v>
                </c:pt>
                <c:pt idx="83">
                  <c:v>0.58582970570479775</c:v>
                </c:pt>
                <c:pt idx="84">
                  <c:v>0.58703330183144931</c:v>
                </c:pt>
                <c:pt idx="85">
                  <c:v>0.58823201038175299</c:v>
                </c:pt>
                <c:pt idx="86">
                  <c:v>0.58942556547046654</c:v>
                </c:pt>
                <c:pt idx="87">
                  <c:v>0.59061369551529286</c:v>
                </c:pt>
                <c:pt idx="88">
                  <c:v>0.59179612317312058</c:v>
                </c:pt>
                <c:pt idx="89">
                  <c:v>0.59297256527778597</c:v>
                </c:pt>
                <c:pt idx="90">
                  <c:v>0.5941427327795078</c:v>
                </c:pt>
                <c:pt idx="91">
                  <c:v>0.59530633068610062</c:v>
                </c:pt>
                <c:pt idx="92">
                  <c:v>0.59646305800613675</c:v>
                </c:pt>
                <c:pt idx="93">
                  <c:v>0.59761260769421432</c:v>
                </c:pt>
                <c:pt idx="94">
                  <c:v>0.59875466659844645</c:v>
                </c:pt>
                <c:pt idx="95">
                  <c:v>0.59988891541038258</c:v>
                </c:pt>
                <c:pt idx="96">
                  <c:v>0.60101502861749856</c:v>
                </c:pt>
                <c:pt idx="97">
                  <c:v>0.60213267445842578</c:v>
                </c:pt>
                <c:pt idx="98">
                  <c:v>0.60324151488111655</c:v>
                </c:pt>
                <c:pt idx="99">
                  <c:v>0.60434120550410941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'-'!$J$4:$J$103</c:f>
              <c:numCache>
                <c:formatCode>General</c:formatCode>
                <c:ptCount val="100"/>
                <c:pt idx="0">
                  <c:v>0.45925439538896745</c:v>
                </c:pt>
                <c:pt idx="1">
                  <c:v>0.46021370389573363</c:v>
                </c:pt>
                <c:pt idx="2">
                  <c:v>0.46117611175075257</c:v>
                </c:pt>
                <c:pt idx="3">
                  <c:v>0.46214159772277863</c:v>
                </c:pt>
                <c:pt idx="4">
                  <c:v>0.46311013954751068</c:v>
                </c:pt>
                <c:pt idx="5">
                  <c:v>0.46408171390157454</c:v>
                </c:pt>
                <c:pt idx="6">
                  <c:v>0.46505629637597073</c:v>
                </c:pt>
                <c:pt idx="7">
                  <c:v>0.46603386144896819</c:v>
                </c:pt>
                <c:pt idx="8">
                  <c:v>0.46701438245846205</c:v>
                </c:pt>
                <c:pt idx="9">
                  <c:v>0.46799783157376479</c:v>
                </c:pt>
                <c:pt idx="10">
                  <c:v>0.46898417976683071</c:v>
                </c:pt>
                <c:pt idx="11">
                  <c:v>0.46997339678290878</c:v>
                </c:pt>
                <c:pt idx="12">
                  <c:v>0.47096545111060967</c:v>
                </c:pt>
                <c:pt idx="13">
                  <c:v>0.47196030995139032</c:v>
                </c:pt>
                <c:pt idx="14">
                  <c:v>0.47295793918843176</c:v>
                </c:pt>
                <c:pt idx="15">
                  <c:v>0.47395830335492323</c:v>
                </c:pt>
                <c:pt idx="16">
                  <c:v>0.47496136560172209</c:v>
                </c:pt>
                <c:pt idx="17">
                  <c:v>0.47596708766440682</c:v>
                </c:pt>
                <c:pt idx="18">
                  <c:v>0.47697542982969587</c:v>
                </c:pt>
                <c:pt idx="19">
                  <c:v>0.47798635090123975</c:v>
                </c:pt>
                <c:pt idx="20">
                  <c:v>0.47899980816476778</c:v>
                </c:pt>
                <c:pt idx="21">
                  <c:v>0.48001575735259211</c:v>
                </c:pt>
                <c:pt idx="22">
                  <c:v>0.48103415260746024</c:v>
                </c:pt>
                <c:pt idx="23">
                  <c:v>0.48205494644575031</c:v>
                </c:pt>
                <c:pt idx="24">
                  <c:v>0.48307808971999505</c:v>
                </c:pt>
                <c:pt idx="25">
                  <c:v>0.48410353158075126</c:v>
                </c:pt>
                <c:pt idx="26">
                  <c:v>0.48513121943777798</c:v>
                </c:pt>
                <c:pt idx="27">
                  <c:v>0.48616109892055259</c:v>
                </c:pt>
                <c:pt idx="28">
                  <c:v>0.48719311383808345</c:v>
                </c:pt>
                <c:pt idx="29">
                  <c:v>0.48822720613805592</c:v>
                </c:pt>
                <c:pt idx="30">
                  <c:v>0.48926331586527178</c:v>
                </c:pt>
                <c:pt idx="31">
                  <c:v>0.49030138111940469</c:v>
                </c:pt>
                <c:pt idx="32">
                  <c:v>0.49134133801204999</c:v>
                </c:pt>
                <c:pt idx="33">
                  <c:v>0.49238312062307638</c:v>
                </c:pt>
                <c:pt idx="34">
                  <c:v>0.4934266609562889</c:v>
                </c:pt>
                <c:pt idx="35">
                  <c:v>0.49447188889436783</c:v>
                </c:pt>
                <c:pt idx="36">
                  <c:v>0.49551873215312314</c:v>
                </c:pt>
                <c:pt idx="37">
                  <c:v>0.49656711623504352</c:v>
                </c:pt>
                <c:pt idx="38">
                  <c:v>0.49761696438213121</c:v>
                </c:pt>
                <c:pt idx="39">
                  <c:v>0.49866819752805147</c:v>
                </c:pt>
                <c:pt idx="40">
                  <c:v>0.4997207342495768</c:v>
                </c:pt>
                <c:pt idx="41">
                  <c:v>0.50077449071733526</c:v>
                </c:pt>
                <c:pt idx="42">
                  <c:v>0.50182938064586979</c:v>
                </c:pt>
                <c:pt idx="43">
                  <c:v>0.50288531524301228</c:v>
                </c:pt>
                <c:pt idx="44">
                  <c:v>0.50394220315856997</c:v>
                </c:pt>
                <c:pt idx="45">
                  <c:v>0.5049999504323508</c:v>
                </c:pt>
                <c:pt idx="46">
                  <c:v>0.5060584604415107</c:v>
                </c:pt>
                <c:pt idx="47">
                  <c:v>0.50711763384724107</c:v>
                </c:pt>
                <c:pt idx="48">
                  <c:v>0.50817736854082429</c:v>
                </c:pt>
                <c:pt idx="49">
                  <c:v>0.5092375595890356</c:v>
                </c:pt>
                <c:pt idx="50">
                  <c:v>0.51029809917893254</c:v>
                </c:pt>
                <c:pt idx="51">
                  <c:v>0.51135887656202672</c:v>
                </c:pt>
                <c:pt idx="52">
                  <c:v>0.51241977799786098</c:v>
                </c:pt>
                <c:pt idx="53">
                  <c:v>0.51348068669701696</c:v>
                </c:pt>
                <c:pt idx="54">
                  <c:v>0.51454148276354295</c:v>
                </c:pt>
                <c:pt idx="55">
                  <c:v>0.51560204313686009</c:v>
                </c:pt>
                <c:pt idx="56">
                  <c:v>0.51666224153313878</c:v>
                </c:pt>
                <c:pt idx="57">
                  <c:v>0.5177219483861708</c:v>
                </c:pt>
                <c:pt idx="58">
                  <c:v>0.51878103078778159</c:v>
                </c:pt>
                <c:pt idx="59">
                  <c:v>0.51983935242779766</c:v>
                </c:pt>
                <c:pt idx="60">
                  <c:v>0.52089677353357489</c:v>
                </c:pt>
                <c:pt idx="61">
                  <c:v>0.52195315080916427</c:v>
                </c:pt>
                <c:pt idx="62">
                  <c:v>0.52300833737411201</c:v>
                </c:pt>
                <c:pt idx="63">
                  <c:v>0.52406218270193416</c:v>
                </c:pt>
                <c:pt idx="64">
                  <c:v>0.52511453255831642</c:v>
                </c:pt>
                <c:pt idx="65">
                  <c:v>0.52616522893907069</c:v>
                </c:pt>
                <c:pt idx="66">
                  <c:v>0.52721411000787566</c:v>
                </c:pt>
                <c:pt idx="67">
                  <c:v>0.52826101003388071</c:v>
                </c:pt>
                <c:pt idx="68">
                  <c:v>0.52930575932917956</c:v>
                </c:pt>
                <c:pt idx="69">
                  <c:v>0.53034818418622254</c:v>
                </c:pt>
                <c:pt idx="70">
                  <c:v>0.53138810681523885</c:v>
                </c:pt>
                <c:pt idx="71">
                  <c:v>0.53242534528167595</c:v>
                </c:pt>
                <c:pt idx="72">
                  <c:v>0.53345971344375775</c:v>
                </c:pt>
                <c:pt idx="73">
                  <c:v>0.5344910208902105</c:v>
                </c:pt>
                <c:pt idx="74">
                  <c:v>0.535519072878203</c:v>
                </c:pt>
                <c:pt idx="75">
                  <c:v>0.53654367027158822</c:v>
                </c:pt>
                <c:pt idx="76">
                  <c:v>0.53756460947951534</c:v>
                </c:pt>
                <c:pt idx="77">
                  <c:v>0.53858168239547588</c:v>
                </c:pt>
                <c:pt idx="78">
                  <c:v>0.53959467633686298</c:v>
                </c:pt>
                <c:pt idx="79">
                  <c:v>0.54060337398514269</c:v>
                </c:pt>
                <c:pt idx="80">
                  <c:v>0.54160755332669575</c:v>
                </c:pt>
                <c:pt idx="81">
                  <c:v>0.54260698759443571</c:v>
                </c:pt>
                <c:pt idx="82">
                  <c:v>0.54360144521028964</c:v>
                </c:pt>
                <c:pt idx="83">
                  <c:v>0.54459068972863933</c:v>
                </c:pt>
                <c:pt idx="84">
                  <c:v>0.54557447978083129</c:v>
                </c:pt>
                <c:pt idx="85">
                  <c:v>0.54655256902083293</c:v>
                </c:pt>
                <c:pt idx="86">
                  <c:v>0.54752470607218195</c:v>
                </c:pt>
                <c:pt idx="87">
                  <c:v>0.54849063447630764</c:v>
                </c:pt>
                <c:pt idx="88">
                  <c:v>0.54945009264237332</c:v>
                </c:pt>
                <c:pt idx="89">
                  <c:v>0.55040281379871603</c:v>
                </c:pt>
                <c:pt idx="90">
                  <c:v>0.55134852594607242</c:v>
                </c:pt>
                <c:pt idx="91">
                  <c:v>0.55228695181264831</c:v>
                </c:pt>
                <c:pt idx="92">
                  <c:v>0.55321780881124061</c:v>
                </c:pt>
                <c:pt idx="93">
                  <c:v>0.55414080899849272</c:v>
                </c:pt>
                <c:pt idx="94">
                  <c:v>0.55505565903645238</c:v>
                </c:pt>
                <c:pt idx="95">
                  <c:v>0.555962060156594</c:v>
                </c:pt>
                <c:pt idx="96">
                  <c:v>0.55685970812642049</c:v>
                </c:pt>
                <c:pt idx="97">
                  <c:v>0.55774829321884645</c:v>
                </c:pt>
                <c:pt idx="98">
                  <c:v>0.55862750018449681</c:v>
                </c:pt>
                <c:pt idx="99">
                  <c:v>0.55949700822709403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'-'!$K$4:$K$103</c:f>
              <c:numCache>
                <c:formatCode>General</c:formatCode>
                <c:ptCount val="100"/>
                <c:pt idx="0">
                  <c:v>0.56289421427056119</c:v>
                </c:pt>
                <c:pt idx="1">
                  <c:v>0.56367603106539166</c:v>
                </c:pt>
                <c:pt idx="2">
                  <c:v>0.56445854409607754</c:v>
                </c:pt>
                <c:pt idx="3">
                  <c:v>0.5652417022995555</c:v>
                </c:pt>
                <c:pt idx="4">
                  <c:v>0.56602545323984332</c:v>
                </c:pt>
                <c:pt idx="5">
                  <c:v>0.56680974307976628</c:v>
                </c:pt>
                <c:pt idx="6">
                  <c:v>0.56759451655219484</c:v>
                </c:pt>
                <c:pt idx="7">
                  <c:v>0.56837971693081113</c:v>
                </c:pt>
                <c:pt idx="8">
                  <c:v>0.56916528600038863</c:v>
                </c:pt>
                <c:pt idx="9">
                  <c:v>0.56995116402658164</c:v>
                </c:pt>
                <c:pt idx="10">
                  <c:v>0.57073728972521376</c:v>
                </c:pt>
                <c:pt idx="11">
                  <c:v>0.57152360023109017</c:v>
                </c:pt>
                <c:pt idx="12">
                  <c:v>0.5723100310662893</c:v>
                </c:pt>
                <c:pt idx="13">
                  <c:v>0.57309651610796852</c:v>
                </c:pt>
                <c:pt idx="14">
                  <c:v>0.57388298755565237</c:v>
                </c:pt>
                <c:pt idx="15">
                  <c:v>0.57466937589803457</c:v>
                </c:pt>
                <c:pt idx="16">
                  <c:v>0.57545560987924005</c:v>
                </c:pt>
                <c:pt idx="17">
                  <c:v>0.57624161646460548</c:v>
                </c:pt>
                <c:pt idx="18">
                  <c:v>0.57702732080593799</c:v>
                </c:pt>
                <c:pt idx="19">
                  <c:v>0.5778126462062495</c:v>
                </c:pt>
                <c:pt idx="20">
                  <c:v>0.57859751408400073</c:v>
                </c:pt>
                <c:pt idx="21">
                  <c:v>0.57938184393681014</c:v>
                </c:pt>
                <c:pt idx="22">
                  <c:v>0.58016555330466335</c:v>
                </c:pt>
                <c:pt idx="23">
                  <c:v>0.58094855773260046</c:v>
                </c:pt>
                <c:pt idx="24">
                  <c:v>0.5817307707329028</c:v>
                </c:pt>
                <c:pt idx="25">
                  <c:v>0.5825121037467601</c:v>
                </c:pt>
                <c:pt idx="26">
                  <c:v>0.5832924661054345</c:v>
                </c:pt>
                <c:pt idx="27">
                  <c:v>0.58407176499092195</c:v>
                </c:pt>
                <c:pt idx="28">
                  <c:v>0.58484990539610204</c:v>
                </c:pt>
                <c:pt idx="29">
                  <c:v>0.58562679008441199</c:v>
                </c:pt>
                <c:pt idx="30">
                  <c:v>0.58640231954900024</c:v>
                </c:pt>
                <c:pt idx="31">
                  <c:v>0.5871763919714178</c:v>
                </c:pt>
                <c:pt idx="32">
                  <c:v>0.58794890317981152</c:v>
                </c:pt>
                <c:pt idx="33">
                  <c:v>0.58871974660665383</c:v>
                </c:pt>
                <c:pt idx="34">
                  <c:v>0.58948881324599678</c:v>
                </c:pt>
                <c:pt idx="35">
                  <c:v>0.59025599161027631</c:v>
                </c:pt>
                <c:pt idx="36">
                  <c:v>0.59102116768666502</c:v>
                </c:pt>
                <c:pt idx="37">
                  <c:v>0.59178422489298288</c:v>
                </c:pt>
                <c:pt idx="38">
                  <c:v>0.59254504403318331</c:v>
                </c:pt>
                <c:pt idx="39">
                  <c:v>0.5933035032524332</c:v>
                </c:pt>
                <c:pt idx="40">
                  <c:v>0.59405947799177306</c:v>
                </c:pt>
                <c:pt idx="41">
                  <c:v>0.59481284094240305</c:v>
                </c:pt>
                <c:pt idx="42">
                  <c:v>0.59556346199959598</c:v>
                </c:pt>
                <c:pt idx="43">
                  <c:v>0.59631120821625716</c:v>
                </c:pt>
                <c:pt idx="44">
                  <c:v>0.59705594375613569</c:v>
                </c:pt>
                <c:pt idx="45">
                  <c:v>0.59779752984673362</c:v>
                </c:pt>
                <c:pt idx="46">
                  <c:v>0.59853582473191225</c:v>
                </c:pt>
                <c:pt idx="47">
                  <c:v>0.59927068362421443</c:v>
                </c:pt>
                <c:pt idx="48">
                  <c:v>0.60000195865695261</c:v>
                </c:pt>
                <c:pt idx="49">
                  <c:v>0.60072949883605509</c:v>
                </c:pt>
                <c:pt idx="50">
                  <c:v>0.60145314999172095</c:v>
                </c:pt>
                <c:pt idx="51">
                  <c:v>0.60217275472990273</c:v>
                </c:pt>
                <c:pt idx="52">
                  <c:v>0.60288815238364146</c:v>
                </c:pt>
                <c:pt idx="53">
                  <c:v>0.6035991789642996</c:v>
                </c:pt>
                <c:pt idx="54">
                  <c:v>0.60430566711270739</c:v>
                </c:pt>
                <c:pt idx="55">
                  <c:v>0.60500744605028556</c:v>
                </c:pt>
                <c:pt idx="56">
                  <c:v>0.60570434153013364</c:v>
                </c:pt>
                <c:pt idx="57">
                  <c:v>0.60639617578819116</c:v>
                </c:pt>
                <c:pt idx="58">
                  <c:v>0.60708276749443957</c:v>
                </c:pt>
                <c:pt idx="59">
                  <c:v>0.60776393170425691</c:v>
                </c:pt>
                <c:pt idx="60">
                  <c:v>0.60843947980990853</c:v>
                </c:pt>
                <c:pt idx="61">
                  <c:v>0.60910921949227304</c:v>
                </c:pt>
                <c:pt idx="62">
                  <c:v>0.60977295467282433</c:v>
                </c:pt>
                <c:pt idx="63">
                  <c:v>0.61043048546593148</c:v>
                </c:pt>
                <c:pt idx="64">
                  <c:v>0.61108160813153012</c:v>
                </c:pt>
                <c:pt idx="65">
                  <c:v>0.61172611502822616</c:v>
                </c:pt>
                <c:pt idx="66">
                  <c:v>0.61236379456689471</c:v>
                </c:pt>
                <c:pt idx="67">
                  <c:v>0.61299443116482188</c:v>
                </c:pt>
                <c:pt idx="68">
                  <c:v>0.6136178052004807</c:v>
                </c:pt>
                <c:pt idx="69">
                  <c:v>0.61423369296898567</c:v>
                </c:pt>
                <c:pt idx="70">
                  <c:v>0.61484186663831453</c:v>
                </c:pt>
                <c:pt idx="71">
                  <c:v>0.61544209420637175</c:v>
                </c:pt>
                <c:pt idx="72">
                  <c:v>0.61603413945894736</c:v>
                </c:pt>
                <c:pt idx="73">
                  <c:v>0.61661776192869455</c:v>
                </c:pt>
                <c:pt idx="74">
                  <c:v>0.61719271685517496</c:v>
                </c:pt>
                <c:pt idx="75">
                  <c:v>0.61775875514606982</c:v>
                </c:pt>
                <c:pt idx="76">
                  <c:v>0.61831562333966072</c:v>
                </c:pt>
                <c:pt idx="77">
                  <c:v>0.61886306356865306</c:v>
                </c:pt>
                <c:pt idx="78">
                  <c:v>0.61940081352544907</c:v>
                </c:pt>
                <c:pt idx="79">
                  <c:v>0.61992860642899339</c:v>
                </c:pt>
                <c:pt idx="80">
                  <c:v>0.62044617099325328</c:v>
                </c:pt>
                <c:pt idx="81">
                  <c:v>0.62095323139747183</c:v>
                </c:pt>
                <c:pt idx="82">
                  <c:v>0.62144950725831016</c:v>
                </c:pt>
                <c:pt idx="83">
                  <c:v>0.62193471360397656</c:v>
                </c:pt>
                <c:pt idx="84">
                  <c:v>0.62240856085046459</c:v>
                </c:pt>
                <c:pt idx="85">
                  <c:v>0.6228707547800495</c:v>
                </c:pt>
                <c:pt idx="86">
                  <c:v>0.62332099652212913</c:v>
                </c:pt>
                <c:pt idx="87">
                  <c:v>0.62375898253657425</c:v>
                </c:pt>
                <c:pt idx="88">
                  <c:v>0.62418440459971158</c:v>
                </c:pt>
                <c:pt idx="89">
                  <c:v>0.62459694979307367</c:v>
                </c:pt>
                <c:pt idx="90">
                  <c:v>0.62499630049507005</c:v>
                </c:pt>
                <c:pt idx="91">
                  <c:v>0.62538213437571177</c:v>
                </c:pt>
                <c:pt idx="92">
                  <c:v>0.62575412439455969</c:v>
                </c:pt>
                <c:pt idx="93">
                  <c:v>0.62611193880202898</c:v>
                </c:pt>
                <c:pt idx="94">
                  <c:v>0.62645524114422557</c:v>
                </c:pt>
                <c:pt idx="95">
                  <c:v>0.62678369027145775</c:v>
                </c:pt>
                <c:pt idx="96">
                  <c:v>0.62709694035062158</c:v>
                </c:pt>
                <c:pt idx="97">
                  <c:v>0.62739464088158703</c:v>
                </c:pt>
                <c:pt idx="98">
                  <c:v>0.62767643671778384</c:v>
                </c:pt>
                <c:pt idx="99">
                  <c:v>0.6279419680911712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'-'!$L$4:$L$103</c:f>
              <c:numCache>
                <c:formatCode>General</c:formatCode>
                <c:ptCount val="100"/>
                <c:pt idx="0">
                  <c:v>0.60105926530906384</c:v>
                </c:pt>
                <c:pt idx="1">
                  <c:v>0.60220442360459703</c:v>
                </c:pt>
                <c:pt idx="2">
                  <c:v>0.60335274050916599</c:v>
                </c:pt>
                <c:pt idx="3">
                  <c:v>0.60450418069267764</c:v>
                </c:pt>
                <c:pt idx="4">
                  <c:v>0.60565870743479366</c:v>
                </c:pt>
                <c:pt idx="5">
                  <c:v>0.60681628259176335</c:v>
                </c:pt>
                <c:pt idx="6">
                  <c:v>0.60797686656263517</c:v>
                </c:pt>
                <c:pt idx="7">
                  <c:v>0.60914041825478393</c:v>
                </c:pt>
                <c:pt idx="8">
                  <c:v>0.61030689504877922</c:v>
                </c:pt>
                <c:pt idx="9">
                  <c:v>0.61147625276258244</c:v>
                </c:pt>
                <c:pt idx="10">
                  <c:v>0.61264844561504717</c:v>
                </c:pt>
                <c:pt idx="11">
                  <c:v>0.6138234261887362</c:v>
                </c:pt>
                <c:pt idx="12">
                  <c:v>0.61500114539202422</c:v>
                </c:pt>
                <c:pt idx="13">
                  <c:v>0.6161815524205051</c:v>
                </c:pt>
                <c:pt idx="14">
                  <c:v>0.61736459471767158</c:v>
                </c:pt>
                <c:pt idx="15">
                  <c:v>0.61855021793487253</c:v>
                </c:pt>
                <c:pt idx="16">
                  <c:v>0.61973836589053044</c:v>
                </c:pt>
                <c:pt idx="17">
                  <c:v>0.62092898052863066</c:v>
                </c:pt>
                <c:pt idx="18">
                  <c:v>0.62212200187645128</c:v>
                </c:pt>
                <c:pt idx="19">
                  <c:v>0.62331736800154913</c:v>
                </c:pt>
                <c:pt idx="20">
                  <c:v>0.62451501496796658</c:v>
                </c:pt>
                <c:pt idx="21">
                  <c:v>0.62571487679170035</c:v>
                </c:pt>
                <c:pt idx="22">
                  <c:v>0.62691688539536816</c:v>
                </c:pt>
                <c:pt idx="23">
                  <c:v>0.62812097056211058</c:v>
                </c:pt>
                <c:pt idx="24">
                  <c:v>0.62932705988871429</c:v>
                </c:pt>
                <c:pt idx="25">
                  <c:v>0.63053507873793124</c:v>
                </c:pt>
                <c:pt idx="26">
                  <c:v>0.63174495019002541</c:v>
                </c:pt>
                <c:pt idx="27">
                  <c:v>0.6329565949935051</c:v>
                </c:pt>
                <c:pt idx="28">
                  <c:v>0.6341699315150634</c:v>
                </c:pt>
                <c:pt idx="29">
                  <c:v>0.63538487568872171</c:v>
                </c:pt>
                <c:pt idx="30">
                  <c:v>0.63660134096415932</c:v>
                </c:pt>
                <c:pt idx="31">
                  <c:v>0.63781923825424325</c:v>
                </c:pt>
                <c:pt idx="32">
                  <c:v>0.63903847588175211</c:v>
                </c:pt>
                <c:pt idx="33">
                  <c:v>0.640258959525287</c:v>
                </c:pt>
                <c:pt idx="34">
                  <c:v>0.64148059216438924</c:v>
                </c:pt>
                <c:pt idx="35">
                  <c:v>0.64270327402383398</c:v>
                </c:pt>
                <c:pt idx="36">
                  <c:v>0.64392690251714513</c:v>
                </c:pt>
                <c:pt idx="37">
                  <c:v>0.64515137218929297</c:v>
                </c:pt>
                <c:pt idx="38">
                  <c:v>0.64637657465860221</c:v>
                </c:pt>
                <c:pt idx="39">
                  <c:v>0.64760239855787527</c:v>
                </c:pt>
                <c:pt idx="40">
                  <c:v>0.64882872947472259</c:v>
                </c:pt>
                <c:pt idx="41">
                  <c:v>0.65005544989112574</c:v>
                </c:pt>
                <c:pt idx="42">
                  <c:v>0.65128243912222494</c:v>
                </c:pt>
                <c:pt idx="43">
                  <c:v>0.65250957325435066</c:v>
                </c:pt>
                <c:pt idx="44">
                  <c:v>0.65373672508230329</c:v>
                </c:pt>
                <c:pt idx="45">
                  <c:v>0.65496376404590606</c:v>
                </c:pt>
                <c:pt idx="46">
                  <c:v>0.65619055616582533</c:v>
                </c:pt>
                <c:pt idx="47">
                  <c:v>0.65741696397868576</c:v>
                </c:pt>
                <c:pt idx="48">
                  <c:v>0.65864284647149585</c:v>
                </c:pt>
                <c:pt idx="49">
                  <c:v>0.65986805901540568</c:v>
                </c:pt>
                <c:pt idx="50">
                  <c:v>0.66109245329879018</c:v>
                </c:pt>
                <c:pt idx="51">
                  <c:v>0.6623158772597284</c:v>
                </c:pt>
                <c:pt idx="52">
                  <c:v>0.66353817501785251</c:v>
                </c:pt>
                <c:pt idx="53">
                  <c:v>0.66475918680561863</c:v>
                </c:pt>
                <c:pt idx="54">
                  <c:v>0.66597874889902786</c:v>
                </c:pt>
                <c:pt idx="55">
                  <c:v>0.66719669354780409</c:v>
                </c:pt>
                <c:pt idx="56">
                  <c:v>0.66841284890509045</c:v>
                </c:pt>
                <c:pt idx="57">
                  <c:v>0.6696270389566723</c:v>
                </c:pt>
                <c:pt idx="58">
                  <c:v>0.67083908344977405</c:v>
                </c:pt>
                <c:pt idx="59">
                  <c:v>0.67204879782147298</c:v>
                </c:pt>
                <c:pt idx="60">
                  <c:v>0.67325599312675477</c:v>
                </c:pt>
                <c:pt idx="61">
                  <c:v>0.67446047596626824</c:v>
                </c:pt>
                <c:pt idx="62">
                  <c:v>0.67566204841382171</c:v>
                </c:pt>
                <c:pt idx="63">
                  <c:v>0.67686050794366104</c:v>
                </c:pt>
                <c:pt idx="64">
                  <c:v>0.67805564735759916</c:v>
                </c:pt>
                <c:pt idx="65">
                  <c:v>0.67924725471203018</c:v>
                </c:pt>
                <c:pt idx="66">
                  <c:v>0.68043511324489347</c:v>
                </c:pt>
                <c:pt idx="67">
                  <c:v>0.68161900130267217</c:v>
                </c:pt>
                <c:pt idx="68">
                  <c:v>0.68279869226744161</c:v>
                </c:pt>
                <c:pt idx="69">
                  <c:v>0.68397395448407394</c:v>
                </c:pt>
                <c:pt idx="70">
                  <c:v>0.68514455118766771</c:v>
                </c:pt>
                <c:pt idx="71">
                  <c:v>0.68631024043125166</c:v>
                </c:pt>
                <c:pt idx="72">
                  <c:v>0.68747077501386333</c:v>
                </c:pt>
                <c:pt idx="73">
                  <c:v>0.68862590240908272</c:v>
                </c:pt>
                <c:pt idx="74">
                  <c:v>0.68977536469409872</c:v>
                </c:pt>
                <c:pt idx="75">
                  <c:v>0.69091889847939603</c:v>
                </c:pt>
                <c:pt idx="76">
                  <c:v>0.69205623483917622</c:v>
                </c:pt>
                <c:pt idx="77">
                  <c:v>0.69318709924258404</c:v>
                </c:pt>
                <c:pt idx="78">
                  <c:v>0.69431121148586616</c:v>
                </c:pt>
                <c:pt idx="79">
                  <c:v>0.69542828562555348</c:v>
                </c:pt>
                <c:pt idx="80">
                  <c:v>0.6965380299127899</c:v>
                </c:pt>
                <c:pt idx="81">
                  <c:v>0.6976401467289064</c:v>
                </c:pt>
                <c:pt idx="82">
                  <c:v>0.69873433252239225</c:v>
                </c:pt>
                <c:pt idx="83">
                  <c:v>0.699820277747357</c:v>
                </c:pt>
                <c:pt idx="84">
                  <c:v>0.7008976668036353</c:v>
                </c:pt>
                <c:pt idx="85">
                  <c:v>0.7019661779786559</c:v>
                </c:pt>
                <c:pt idx="86">
                  <c:v>0.70302548339124049</c:v>
                </c:pt>
                <c:pt idx="87">
                  <c:v>0.70407524893744311</c:v>
                </c:pt>
                <c:pt idx="88">
                  <c:v>0.70511513423860606</c:v>
                </c:pt>
                <c:pt idx="89">
                  <c:v>0.70614479259179697</c:v>
                </c:pt>
                <c:pt idx="90">
                  <c:v>0.70716387092276078</c:v>
                </c:pt>
                <c:pt idx="91">
                  <c:v>0.70817200974156957</c:v>
                </c:pt>
                <c:pt idx="92">
                  <c:v>0.70916884310115869</c:v>
                </c:pt>
                <c:pt idx="93">
                  <c:v>0.71015399855890016</c:v>
                </c:pt>
                <c:pt idx="94">
                  <c:v>0.71112709714141253</c:v>
                </c:pt>
                <c:pt idx="95">
                  <c:v>0.71208775331279417</c:v>
                </c:pt>
                <c:pt idx="96">
                  <c:v>0.71303557494648229</c:v>
                </c:pt>
                <c:pt idx="97">
                  <c:v>0.71397016330092011</c:v>
                </c:pt>
                <c:pt idx="98">
                  <c:v>0.714891112999261</c:v>
                </c:pt>
                <c:pt idx="99">
                  <c:v>0.7157980120133064</c:v>
                </c:pt>
              </c:numCache>
            </c:numRef>
          </c:val>
          <c:smooth val="0"/>
        </c:ser>
        <c:ser>
          <c:idx val="4"/>
          <c:order val="4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'-'!$M$4:$M$103</c:f>
              <c:numCache>
                <c:formatCode>General</c:formatCode>
                <c:ptCount val="100"/>
                <c:pt idx="0">
                  <c:v>0.80794576998809031</c:v>
                </c:pt>
                <c:pt idx="1">
                  <c:v>0.80890797416093119</c:v>
                </c:pt>
                <c:pt idx="2">
                  <c:v>0.80986999023273476</c:v>
                </c:pt>
                <c:pt idx="3">
                  <c:v>0.81083173607738124</c:v>
                </c:pt>
                <c:pt idx="4">
                  <c:v>0.81179312757579658</c:v>
                </c:pt>
                <c:pt idx="5">
                  <c:v>0.81275407857710447</c:v>
                </c:pt>
                <c:pt idx="6">
                  <c:v>0.81371450085917485</c:v>
                </c:pt>
                <c:pt idx="7">
                  <c:v>0.81467430408855668</c:v>
                </c:pt>
                <c:pt idx="8">
                  <c:v>0.81563339577979055</c:v>
                </c:pt>
                <c:pt idx="9">
                  <c:v>0.81659168125410475</c:v>
                </c:pt>
                <c:pt idx="10">
                  <c:v>0.81754906359748369</c:v>
                </c:pt>
                <c:pt idx="11">
                  <c:v>0.81850544361811395</c:v>
                </c:pt>
                <c:pt idx="12">
                  <c:v>0.81946071980319379</c:v>
                </c:pt>
                <c:pt idx="13">
                  <c:v>0.82041478827512138</c:v>
                </c:pt>
                <c:pt idx="14">
                  <c:v>0.82136754274705148</c:v>
                </c:pt>
                <c:pt idx="15">
                  <c:v>0.82231887447781604</c:v>
                </c:pt>
                <c:pt idx="16">
                  <c:v>0.82326867222621269</c:v>
                </c:pt>
                <c:pt idx="17">
                  <c:v>0.8242168222046633</c:v>
                </c:pt>
                <c:pt idx="18">
                  <c:v>0.82516320803224996</c:v>
                </c:pt>
                <c:pt idx="19">
                  <c:v>0.82610771068710276</c:v>
                </c:pt>
                <c:pt idx="20">
                  <c:v>0.82705020845818422</c:v>
                </c:pt>
                <c:pt idx="21">
                  <c:v>0.8279905768964213</c:v>
                </c:pt>
                <c:pt idx="22">
                  <c:v>0.82892868876524195</c:v>
                </c:pt>
                <c:pt idx="23">
                  <c:v>0.82986441399048116</c:v>
                </c:pt>
                <c:pt idx="24">
                  <c:v>0.83079761960967069</c:v>
                </c:pt>
                <c:pt idx="25">
                  <c:v>0.83172816972073738</c:v>
                </c:pt>
                <c:pt idx="26">
                  <c:v>0.83265592543009004</c:v>
                </c:pt>
                <c:pt idx="27">
                  <c:v>0.8335807448001048</c:v>
                </c:pt>
                <c:pt idx="28">
                  <c:v>0.83450248279603922</c:v>
                </c:pt>
                <c:pt idx="29">
                  <c:v>0.835420991232384</c:v>
                </c:pt>
                <c:pt idx="30">
                  <c:v>0.8363361187185997</c:v>
                </c:pt>
                <c:pt idx="31">
                  <c:v>0.83724771060435788</c:v>
                </c:pt>
                <c:pt idx="32">
                  <c:v>0.83815560892420093</c:v>
                </c:pt>
                <c:pt idx="33">
                  <c:v>0.83905965234168267</c:v>
                </c:pt>
                <c:pt idx="34">
                  <c:v>0.83995967609300137</c:v>
                </c:pt>
                <c:pt idx="35">
                  <c:v>0.84085551193012897</c:v>
                </c:pt>
                <c:pt idx="36">
                  <c:v>0.8417469880634556</c:v>
                </c:pt>
                <c:pt idx="37">
                  <c:v>0.84263392910398116</c:v>
                </c:pt>
                <c:pt idx="38">
                  <c:v>0.84351615600504926</c:v>
                </c:pt>
                <c:pt idx="39">
                  <c:v>0.84439348600367969</c:v>
                </c:pt>
                <c:pt idx="40">
                  <c:v>0.84526573256148052</c:v>
                </c:pt>
                <c:pt idx="41">
                  <c:v>0.84613270530519979</c:v>
                </c:pt>
                <c:pt idx="42">
                  <c:v>0.84699420996692942</c:v>
                </c:pt>
                <c:pt idx="43">
                  <c:v>0.84785004832398558</c:v>
                </c:pt>
                <c:pt idx="44">
                  <c:v>0.84870001813849361</c:v>
                </c:pt>
                <c:pt idx="45">
                  <c:v>0.84954391309672539</c:v>
                </c:pt>
                <c:pt idx="46">
                  <c:v>0.85038152274820966</c:v>
                </c:pt>
                <c:pt idx="47">
                  <c:v>0.85121263244464207</c:v>
                </c:pt>
                <c:pt idx="48">
                  <c:v>0.85203702327865838</c:v>
                </c:pt>
                <c:pt idx="49">
                  <c:v>0.85285447202248588</c:v>
                </c:pt>
                <c:pt idx="50">
                  <c:v>0.85366475106653039</c:v>
                </c:pt>
                <c:pt idx="51">
                  <c:v>0.85446762835793411</c:v>
                </c:pt>
                <c:pt idx="52">
                  <c:v>0.85526286733916357</c:v>
                </c:pt>
                <c:pt idx="53">
                  <c:v>0.85605022688664867</c:v>
                </c:pt>
                <c:pt idx="54">
                  <c:v>0.85682946124957349</c:v>
                </c:pt>
                <c:pt idx="55">
                  <c:v>0.85760031998882014</c:v>
                </c:pt>
                <c:pt idx="56">
                  <c:v>0.85836254791616062</c:v>
                </c:pt>
                <c:pt idx="57">
                  <c:v>0.85911588503373659</c:v>
                </c:pt>
                <c:pt idx="58">
                  <c:v>0.85986006647390112</c:v>
                </c:pt>
                <c:pt idx="59">
                  <c:v>0.8605948224394887</c:v>
                </c:pt>
                <c:pt idx="60">
                  <c:v>0.86131987814456012</c:v>
                </c:pt>
                <c:pt idx="61">
                  <c:v>0.86203495375574724</c:v>
                </c:pt>
                <c:pt idx="62">
                  <c:v>0.86273976433419886</c:v>
                </c:pt>
                <c:pt idx="63">
                  <c:v>0.86343401977828516</c:v>
                </c:pt>
                <c:pt idx="64">
                  <c:v>0.86411742476707398</c:v>
                </c:pt>
                <c:pt idx="65">
                  <c:v>0.86478967870471668</c:v>
                </c:pt>
                <c:pt idx="66">
                  <c:v>0.86545047566580224</c:v>
                </c:pt>
                <c:pt idx="67">
                  <c:v>0.86609950434179994</c:v>
                </c:pt>
                <c:pt idx="68">
                  <c:v>0.86673644798864546</c:v>
                </c:pt>
                <c:pt idx="69">
                  <c:v>0.86736098437562503</c:v>
                </c:pt>
                <c:pt idx="70">
                  <c:v>0.86797278573562286</c:v>
                </c:pt>
                <c:pt idx="71">
                  <c:v>0.86857151871685301</c:v>
                </c:pt>
                <c:pt idx="72">
                  <c:v>0.86915684433620433</c:v>
                </c:pt>
                <c:pt idx="73">
                  <c:v>0.86972841793428246</c:v>
                </c:pt>
                <c:pt idx="74">
                  <c:v>0.87028588913231386</c:v>
                </c:pt>
                <c:pt idx="75">
                  <c:v>0.8708289017910108</c:v>
                </c:pt>
                <c:pt idx="76">
                  <c:v>0.87135709397151129</c:v>
                </c:pt>
                <c:pt idx="77">
                  <c:v>0.87187009789859515</c:v>
                </c:pt>
                <c:pt idx="78">
                  <c:v>0.8723675399262335</c:v>
                </c:pt>
                <c:pt idx="79">
                  <c:v>0.87284904050568923</c:v>
                </c:pt>
                <c:pt idx="80">
                  <c:v>0.87331421415626553</c:v>
                </c:pt>
                <c:pt idx="81">
                  <c:v>0.87376266943888636</c:v>
                </c:pt>
                <c:pt idx="82">
                  <c:v>0.87419400893265886</c:v>
                </c:pt>
                <c:pt idx="83">
                  <c:v>0.87460782921459801</c:v>
                </c:pt>
                <c:pt idx="84">
                  <c:v>0.87500372084263656</c:v>
                </c:pt>
                <c:pt idx="85">
                  <c:v>0.87538126834216001</c:v>
                </c:pt>
                <c:pt idx="86">
                  <c:v>0.87574005019619372</c:v>
                </c:pt>
                <c:pt idx="87">
                  <c:v>0.87607963883944817</c:v>
                </c:pt>
                <c:pt idx="88">
                  <c:v>0.87639960065641664</c:v>
                </c:pt>
                <c:pt idx="89">
                  <c:v>0.8766994959836959</c:v>
                </c:pt>
                <c:pt idx="90">
                  <c:v>0.87697887911676209</c:v>
                </c:pt>
                <c:pt idx="91">
                  <c:v>0.87723729832136432</c:v>
                </c:pt>
                <c:pt idx="92">
                  <c:v>0.87747429584980108</c:v>
                </c:pt>
                <c:pt idx="93">
                  <c:v>0.87768940796222583</c:v>
                </c:pt>
                <c:pt idx="94">
                  <c:v>0.87788216495324634</c:v>
                </c:pt>
                <c:pt idx="95">
                  <c:v>0.87805209118404193</c:v>
                </c:pt>
                <c:pt idx="96">
                  <c:v>0.87819870512018372</c:v>
                </c:pt>
                <c:pt idx="97">
                  <c:v>0.87832151937543157</c:v>
                </c:pt>
                <c:pt idx="98">
                  <c:v>0.87842004076173041</c:v>
                </c:pt>
                <c:pt idx="99">
                  <c:v>0.87849377034562881</c:v>
                </c:pt>
              </c:numCache>
            </c:numRef>
          </c:val>
          <c:smooth val="0"/>
        </c:ser>
        <c:ser>
          <c:idx val="5"/>
          <c:order val="5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'-'!$N$4:$N$103</c:f>
              <c:numCache>
                <c:formatCode>General</c:formatCode>
                <c:ptCount val="100"/>
                <c:pt idx="0">
                  <c:v>0.76119985186127548</c:v>
                </c:pt>
                <c:pt idx="1">
                  <c:v>0.76206785279999456</c:v>
                </c:pt>
                <c:pt idx="2">
                  <c:v>0.76293539532621324</c:v>
                </c:pt>
                <c:pt idx="3">
                  <c:v>0.76380240002682431</c:v>
                </c:pt>
                <c:pt idx="4">
                  <c:v>0.7646687856070884</c:v>
                </c:pt>
                <c:pt idx="5">
                  <c:v>0.76553446885447007</c:v>
                </c:pt>
                <c:pt idx="6">
                  <c:v>0.76639936460193658</c:v>
                </c:pt>
                <c:pt idx="7">
                  <c:v>0.76726338569067598</c:v>
                </c:pt>
                <c:pt idx="8">
                  <c:v>0.76812644293226551</c:v>
                </c:pt>
                <c:pt idx="9">
                  <c:v>0.76898844507026665</c:v>
                </c:pt>
                <c:pt idx="10">
                  <c:v>0.76984929874125574</c:v>
                </c:pt>
                <c:pt idx="11">
                  <c:v>0.77070890843528828</c:v>
                </c:pt>
                <c:pt idx="12">
                  <c:v>0.7715671764557801</c:v>
                </c:pt>
                <c:pt idx="13">
                  <c:v>0.77242400287883961</c:v>
                </c:pt>
                <c:pt idx="14">
                  <c:v>0.77327928551199643</c:v>
                </c:pt>
                <c:pt idx="15">
                  <c:v>0.77413291985240207</c:v>
                </c:pt>
                <c:pt idx="16">
                  <c:v>0.77498479904439954</c:v>
                </c:pt>
                <c:pt idx="17">
                  <c:v>0.77583481383658359</c:v>
                </c:pt>
                <c:pt idx="18">
                  <c:v>0.77668285253825109</c:v>
                </c:pt>
                <c:pt idx="19">
                  <c:v>0.77752880097529609</c:v>
                </c:pt>
                <c:pt idx="20">
                  <c:v>0.77837254244554077</c:v>
                </c:pt>
                <c:pt idx="21">
                  <c:v>0.77921395767351731</c:v>
                </c:pt>
                <c:pt idx="22">
                  <c:v>0.78005292476465615</c:v>
                </c:pt>
                <c:pt idx="23">
                  <c:v>0.78088931915896564</c:v>
                </c:pt>
                <c:pt idx="24">
                  <c:v>0.78172301358412954</c:v>
                </c:pt>
                <c:pt idx="25">
                  <c:v>0.78255387800809217</c:v>
                </c:pt>
                <c:pt idx="26">
                  <c:v>0.78338177959106781</c:v>
                </c:pt>
                <c:pt idx="27">
                  <c:v>0.78420658263707155</c:v>
                </c:pt>
                <c:pt idx="28">
                  <c:v>0.785028148544889</c:v>
                </c:pt>
                <c:pt idx="29">
                  <c:v>0.78584633575856522</c:v>
                </c:pt>
                <c:pt idx="30">
                  <c:v>0.78666099971737902</c:v>
                </c:pt>
                <c:pt idx="31">
                  <c:v>0.78747199280533176</c:v>
                </c:pt>
                <c:pt idx="32">
                  <c:v>0.78827916430016687</c:v>
                </c:pt>
                <c:pt idx="33">
                  <c:v>0.7890823603219258</c:v>
                </c:pt>
                <c:pt idx="34">
                  <c:v>0.78988142378103987</c:v>
                </c:pt>
                <c:pt idx="35">
                  <c:v>0.79067619432601999</c:v>
                </c:pt>
                <c:pt idx="36">
                  <c:v>0.79146650829071052</c:v>
                </c:pt>
                <c:pt idx="37">
                  <c:v>0.7922521986411466</c:v>
                </c:pt>
                <c:pt idx="38">
                  <c:v>0.79303309492205076</c:v>
                </c:pt>
                <c:pt idx="39">
                  <c:v>0.79380902320295577</c:v>
                </c:pt>
                <c:pt idx="40">
                  <c:v>0.79457980602400857</c:v>
                </c:pt>
                <c:pt idx="41">
                  <c:v>0.79534526234145109</c:v>
                </c:pt>
                <c:pt idx="42">
                  <c:v>0.79610520747283331</c:v>
                </c:pt>
                <c:pt idx="43">
                  <c:v>0.79685945304195926</c:v>
                </c:pt>
                <c:pt idx="44">
                  <c:v>0.79760780692360334</c:v>
                </c:pt>
                <c:pt idx="45">
                  <c:v>0.79835007318804485</c:v>
                </c:pt>
                <c:pt idx="46">
                  <c:v>0.79908605204542327</c:v>
                </c:pt>
                <c:pt idx="47">
                  <c:v>0.79981553978997</c:v>
                </c:pt>
                <c:pt idx="48">
                  <c:v>0.80053832874414876</c:v>
                </c:pt>
                <c:pt idx="49">
                  <c:v>0.80125420720273621</c:v>
                </c:pt>
                <c:pt idx="50">
                  <c:v>0.80196295937689421</c:v>
                </c:pt>
                <c:pt idx="51">
                  <c:v>0.8026643653382679</c:v>
                </c:pt>
                <c:pt idx="52">
                  <c:v>0.80335820096315314</c:v>
                </c:pt>
                <c:pt idx="53">
                  <c:v>0.80404423787679813</c:v>
                </c:pt>
                <c:pt idx="54">
                  <c:v>0.80472224339785914</c:v>
                </c:pt>
                <c:pt idx="55">
                  <c:v>0.8053919804830898</c:v>
                </c:pt>
                <c:pt idx="56">
                  <c:v>0.8060532076723127</c:v>
                </c:pt>
                <c:pt idx="57">
                  <c:v>0.80670567903371282</c:v>
                </c:pt>
                <c:pt idx="58">
                  <c:v>0.80734914410953296</c:v>
                </c:pt>
                <c:pt idx="59">
                  <c:v>0.80798334786224024</c:v>
                </c:pt>
                <c:pt idx="60">
                  <c:v>0.80860803062119391</c:v>
                </c:pt>
                <c:pt idx="61">
                  <c:v>0.80922292802993478</c:v>
                </c:pt>
                <c:pt idx="62">
                  <c:v>0.80982777099410874</c:v>
                </c:pt>
                <c:pt idx="63">
                  <c:v>0.8104222856301676</c:v>
                </c:pt>
                <c:pt idx="64">
                  <c:v>0.81100619321486112</c:v>
                </c:pt>
                <c:pt idx="65">
                  <c:v>0.8115792101356375</c:v>
                </c:pt>
                <c:pt idx="66">
                  <c:v>0.81214104784204699</c:v>
                </c:pt>
                <c:pt idx="67">
                  <c:v>0.81269141279819723</c:v>
                </c:pt>
                <c:pt idx="68">
                  <c:v>0.81323000643639354</c:v>
                </c:pt>
                <c:pt idx="69">
                  <c:v>0.81375652511203733</c:v>
                </c:pt>
                <c:pt idx="70">
                  <c:v>0.8142706600598808</c:v>
                </c:pt>
                <c:pt idx="71">
                  <c:v>0.8147720973517697</c:v>
                </c:pt>
                <c:pt idx="72">
                  <c:v>0.81526051785593434</c:v>
                </c:pt>
                <c:pt idx="73">
                  <c:v>0.81573559719797573</c:v>
                </c:pt>
                <c:pt idx="74">
                  <c:v>0.81619700572367737</c:v>
                </c:pt>
                <c:pt idx="75">
                  <c:v>0.81664440846369002</c:v>
                </c:pt>
                <c:pt idx="76">
                  <c:v>0.8170774651003041</c:v>
                </c:pt>
                <c:pt idx="77">
                  <c:v>0.81749582993636905</c:v>
                </c:pt>
                <c:pt idx="78">
                  <c:v>0.81789915186652873</c:v>
                </c:pt>
                <c:pt idx="79">
                  <c:v>0.8182870743508952</c:v>
                </c:pt>
                <c:pt idx="80">
                  <c:v>0.8186592353912947</c:v>
                </c:pt>
                <c:pt idx="81">
                  <c:v>0.81901526751026132</c:v>
                </c:pt>
                <c:pt idx="82">
                  <c:v>0.81935479773288633</c:v>
                </c:pt>
                <c:pt idx="83">
                  <c:v>0.81967744757171124</c:v>
                </c:pt>
                <c:pt idx="84">
                  <c:v>0.81998283301480679</c:v>
                </c:pt>
                <c:pt idx="85">
                  <c:v>0.82027056451720803</c:v>
                </c:pt>
                <c:pt idx="86">
                  <c:v>0.82054024699586514</c:v>
                </c:pt>
                <c:pt idx="87">
                  <c:v>0.82079147982829048</c:v>
                </c:pt>
                <c:pt idx="88">
                  <c:v>0.82102385685507939</c:v>
                </c:pt>
                <c:pt idx="89">
                  <c:v>0.82123696638647992</c:v>
                </c:pt>
                <c:pt idx="90">
                  <c:v>0.82143039121319439</c:v>
                </c:pt>
                <c:pt idx="91">
                  <c:v>0.82160370862162202</c:v>
                </c:pt>
                <c:pt idx="92">
                  <c:v>0.82175649041371079</c:v>
                </c:pt>
                <c:pt idx="93">
                  <c:v>0.82188830293163573</c:v>
                </c:pt>
                <c:pt idx="94">
                  <c:v>0.82199870708750289</c:v>
                </c:pt>
                <c:pt idx="95">
                  <c:v>0.82208725839828556</c:v>
                </c:pt>
                <c:pt idx="96">
                  <c:v>0.82215350702619283</c:v>
                </c:pt>
                <c:pt idx="97">
                  <c:v>0.82219699782470579</c:v>
                </c:pt>
                <c:pt idx="98">
                  <c:v>0.82221727039048809</c:v>
                </c:pt>
                <c:pt idx="99">
                  <c:v>0.82221385912138323</c:v>
                </c:pt>
              </c:numCache>
            </c:numRef>
          </c:val>
          <c:smooth val="0"/>
        </c:ser>
        <c:ser>
          <c:idx val="6"/>
          <c:order val="6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'-'!$O$4:$O$103</c:f>
              <c:numCache>
                <c:formatCode>General</c:formatCode>
                <c:ptCount val="100"/>
                <c:pt idx="0">
                  <c:v>0.62090875769764942</c:v>
                </c:pt>
                <c:pt idx="1">
                  <c:v>0.62170502973393826</c:v>
                </c:pt>
                <c:pt idx="2">
                  <c:v>0.62250157589823962</c:v>
                </c:pt>
                <c:pt idx="3">
                  <c:v>0.62329833615735075</c:v>
                </c:pt>
                <c:pt idx="4">
                  <c:v>0.62409524895353008</c:v>
                </c:pt>
                <c:pt idx="5">
                  <c:v>0.62489225117400915</c:v>
                </c:pt>
                <c:pt idx="6">
                  <c:v>0.62568927812002018</c:v>
                </c:pt>
                <c:pt idx="7">
                  <c:v>0.62648626347531478</c:v>
                </c:pt>
                <c:pt idx="8">
                  <c:v>0.62728313927418689</c:v>
                </c:pt>
                <c:pt idx="9">
                  <c:v>0.62807983586898308</c:v>
                </c:pt>
                <c:pt idx="10">
                  <c:v>0.62887628189710643</c:v>
                </c:pt>
                <c:pt idx="11">
                  <c:v>0.6296724042475137</c:v>
                </c:pt>
                <c:pt idx="12">
                  <c:v>0.63046812802668817</c:v>
                </c:pt>
                <c:pt idx="13">
                  <c:v>0.63126337652410824</c:v>
                </c:pt>
                <c:pt idx="14">
                  <c:v>0.63205807117718171</c:v>
                </c:pt>
                <c:pt idx="15">
                  <c:v>0.63285213153568165</c:v>
                </c:pt>
                <c:pt idx="16">
                  <c:v>0.63364547522564607</c:v>
                </c:pt>
                <c:pt idx="17">
                  <c:v>0.63443801791275733</c:v>
                </c:pt>
                <c:pt idx="18">
                  <c:v>0.6352296732652104</c:v>
                </c:pt>
                <c:pt idx="19">
                  <c:v>0.6360203529160473</c:v>
                </c:pt>
                <c:pt idx="20">
                  <c:v>0.63680996642497656</c:v>
                </c:pt>
                <c:pt idx="21">
                  <c:v>0.63759842123967869</c:v>
                </c:pt>
                <c:pt idx="22">
                  <c:v>0.63838562265657561</c:v>
                </c:pt>
                <c:pt idx="23">
                  <c:v>0.63917147378110239</c:v>
                </c:pt>
                <c:pt idx="24">
                  <c:v>0.63995587548745603</c:v>
                </c:pt>
                <c:pt idx="25">
                  <c:v>0.64073872637783469</c:v>
                </c:pt>
                <c:pt idx="26">
                  <c:v>0.64151992274117176</c:v>
                </c:pt>
                <c:pt idx="27">
                  <c:v>0.64229935851136322</c:v>
                </c:pt>
                <c:pt idx="28">
                  <c:v>0.64307692522500126</c:v>
                </c:pt>
                <c:pt idx="29">
                  <c:v>0.6438525119786217</c:v>
                </c:pt>
                <c:pt idx="30">
                  <c:v>0.64462600538545234</c:v>
                </c:pt>
                <c:pt idx="31">
                  <c:v>0.64539728953170161</c:v>
                </c:pt>
                <c:pt idx="32">
                  <c:v>0.6461662459323585</c:v>
                </c:pt>
                <c:pt idx="33">
                  <c:v>0.64693275348654888</c:v>
                </c:pt>
                <c:pt idx="34">
                  <c:v>0.64769668843243944</c:v>
                </c:pt>
                <c:pt idx="35">
                  <c:v>0.64845792430168403</c:v>
                </c:pt>
                <c:pt idx="36">
                  <c:v>0.64921633187347283</c:v>
                </c:pt>
                <c:pt idx="37">
                  <c:v>0.64997177912813908</c:v>
                </c:pt>
                <c:pt idx="38">
                  <c:v>0.65072413120038075</c:v>
                </c:pt>
                <c:pt idx="39">
                  <c:v>0.6514732503320938</c:v>
                </c:pt>
                <c:pt idx="40">
                  <c:v>0.65221899582483489</c:v>
                </c:pt>
                <c:pt idx="41">
                  <c:v>0.65296122399192924</c:v>
                </c:pt>
                <c:pt idx="42">
                  <c:v>0.65369978811025509</c:v>
                </c:pt>
                <c:pt idx="43">
                  <c:v>0.6544345383717044</c:v>
                </c:pt>
                <c:pt idx="44">
                  <c:v>0.6551653218343616</c:v>
                </c:pt>
                <c:pt idx="45">
                  <c:v>0.65589198237340496</c:v>
                </c:pt>
                <c:pt idx="46">
                  <c:v>0.65661436063177681</c:v>
                </c:pt>
                <c:pt idx="47">
                  <c:v>0.65733229397061876</c:v>
                </c:pt>
                <c:pt idx="48">
                  <c:v>0.65804561641953141</c:v>
                </c:pt>
                <c:pt idx="49">
                  <c:v>0.65875415862666564</c:v>
                </c:pt>
                <c:pt idx="50">
                  <c:v>0.65945774780868505</c:v>
                </c:pt>
                <c:pt idx="51">
                  <c:v>0.66015620770063121</c:v>
                </c:pt>
                <c:pt idx="52">
                  <c:v>0.66084935850572746</c:v>
                </c:pt>
                <c:pt idx="53">
                  <c:v>0.66153701684515254</c:v>
                </c:pt>
                <c:pt idx="54">
                  <c:v>0.66221899570783271</c:v>
                </c:pt>
                <c:pt idx="55">
                  <c:v>0.66289510440027832</c:v>
                </c:pt>
                <c:pt idx="56">
                  <c:v>0.66356514849652826</c:v>
                </c:pt>
                <c:pt idx="57">
                  <c:v>0.66422892978822179</c:v>
                </c:pt>
                <c:pt idx="58">
                  <c:v>0.66488624623486337</c:v>
                </c:pt>
                <c:pt idx="59">
                  <c:v>0.66553689191433296</c:v>
                </c:pt>
                <c:pt idx="60">
                  <c:v>0.66618065697366902</c:v>
                </c:pt>
                <c:pt idx="61">
                  <c:v>0.66681732758021339</c:v>
                </c:pt>
                <c:pt idx="62">
                  <c:v>0.66744668587314571</c:v>
                </c:pt>
                <c:pt idx="63">
                  <c:v>0.66806850991547617</c:v>
                </c:pt>
                <c:pt idx="64">
                  <c:v>0.66868257364657502</c:v>
                </c:pt>
                <c:pt idx="65">
                  <c:v>0.66928864683527378</c:v>
                </c:pt>
                <c:pt idx="66">
                  <c:v>0.6698864950336334</c:v>
                </c:pt>
                <c:pt idx="67">
                  <c:v>0.67047587953144205</c:v>
                </c:pt>
                <c:pt idx="68">
                  <c:v>0.67105655731149816</c:v>
                </c:pt>
                <c:pt idx="69">
                  <c:v>0.67162828100578953</c:v>
                </c:pt>
                <c:pt idx="70">
                  <c:v>0.6721907988526219</c:v>
                </c:pt>
                <c:pt idx="71">
                  <c:v>0.67274385465479247</c:v>
                </c:pt>
                <c:pt idx="72">
                  <c:v>0.67328718773889284</c:v>
                </c:pt>
                <c:pt idx="73">
                  <c:v>0.67382053291582189</c:v>
                </c:pt>
                <c:pt idx="74">
                  <c:v>0.67434362044262952</c:v>
                </c:pt>
                <c:pt idx="75">
                  <c:v>0.67485617598575387</c:v>
                </c:pt>
                <c:pt idx="76">
                  <c:v>0.67535792058577415</c:v>
                </c:pt>
                <c:pt idx="77">
                  <c:v>0.67584857062378678</c:v>
                </c:pt>
                <c:pt idx="78">
                  <c:v>0.67632783778948613</c:v>
                </c:pt>
                <c:pt idx="79">
                  <c:v>0.67679542905110102</c:v>
                </c:pt>
                <c:pt idx="80">
                  <c:v>0.67725104662726399</c:v>
                </c:pt>
                <c:pt idx="81">
                  <c:v>0.67769438796096282</c:v>
                </c:pt>
                <c:pt idx="82">
                  <c:v>0.67812514569567561</c:v>
                </c:pt>
                <c:pt idx="83">
                  <c:v>0.67854300765384046</c:v>
                </c:pt>
                <c:pt idx="84">
                  <c:v>0.67894765681775082</c:v>
                </c:pt>
                <c:pt idx="85">
                  <c:v>0.67933877131306952</c:v>
                </c:pt>
                <c:pt idx="86">
                  <c:v>0.67971602439504342</c:v>
                </c:pt>
                <c:pt idx="87">
                  <c:v>0.68007908443760079</c:v>
                </c:pt>
                <c:pt idx="88">
                  <c:v>0.68042761492545645</c:v>
                </c:pt>
                <c:pt idx="89">
                  <c:v>0.68076127444939183</c:v>
                </c:pt>
                <c:pt idx="90">
                  <c:v>0.68107971670485268</c:v>
                </c:pt>
                <c:pt idx="91">
                  <c:v>0.68138259049402983</c:v>
                </c:pt>
                <c:pt idx="92">
                  <c:v>0.68166953973158373</c:v>
                </c:pt>
                <c:pt idx="93">
                  <c:v>0.68194020345418349</c:v>
                </c:pt>
                <c:pt idx="94">
                  <c:v>0.68219421583402329</c:v>
                </c:pt>
                <c:pt idx="95">
                  <c:v>0.68243120619650055</c:v>
                </c:pt>
                <c:pt idx="96">
                  <c:v>0.6826507990422267</c:v>
                </c:pt>
                <c:pt idx="97">
                  <c:v>0.68285261407355569</c:v>
                </c:pt>
                <c:pt idx="98">
                  <c:v>0.6830362662258147</c:v>
                </c:pt>
                <c:pt idx="99">
                  <c:v>0.68320136570342371</c:v>
                </c:pt>
              </c:numCache>
            </c:numRef>
          </c:val>
          <c:smooth val="0"/>
        </c:ser>
        <c:ser>
          <c:idx val="7"/>
          <c:order val="7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'-'!$P$4:$P$103</c:f>
              <c:numCache>
                <c:formatCode>General</c:formatCode>
                <c:ptCount val="100"/>
                <c:pt idx="0">
                  <c:v>0.62478882149719095</c:v>
                </c:pt>
                <c:pt idx="1">
                  <c:v>0.62600884095638554</c:v>
                </c:pt>
                <c:pt idx="2">
                  <c:v>0.62723238289559546</c:v>
                </c:pt>
                <c:pt idx="3">
                  <c:v>0.62845941257914695</c:v>
                </c:pt>
                <c:pt idx="4">
                  <c:v>0.6296898938359049</c:v>
                </c:pt>
                <c:pt idx="5">
                  <c:v>0.63092378902456969</c:v>
                </c:pt>
                <c:pt idx="6">
                  <c:v>0.63216105899826369</c:v>
                </c:pt>
                <c:pt idx="7">
                  <c:v>0.63340166306844081</c:v>
                </c:pt>
                <c:pt idx="8">
                  <c:v>0.63464555896806873</c:v>
                </c:pt>
                <c:pt idx="9">
                  <c:v>0.63589270281410859</c:v>
                </c:pt>
                <c:pt idx="10">
                  <c:v>0.63714304906925001</c:v>
                </c:pt>
                <c:pt idx="11">
                  <c:v>0.63839655050292599</c:v>
                </c:pt>
                <c:pt idx="12">
                  <c:v>0.63965315815156976</c:v>
                </c:pt>
                <c:pt idx="13">
                  <c:v>0.64091282127812332</c:v>
                </c:pt>
                <c:pt idx="14">
                  <c:v>0.64217548733078289</c:v>
                </c:pt>
                <c:pt idx="15">
                  <c:v>0.64344110190096782</c:v>
                </c:pt>
                <c:pt idx="16">
                  <c:v>0.6447096086805123</c:v>
                </c:pt>
                <c:pt idx="17">
                  <c:v>0.64598094941806994</c:v>
                </c:pt>
                <c:pt idx="18">
                  <c:v>0.64725506387471421</c:v>
                </c:pt>
                <c:pt idx="19">
                  <c:v>0.64853188977874732</c:v>
                </c:pt>
                <c:pt idx="20">
                  <c:v>0.64981136277968876</c:v>
                </c:pt>
                <c:pt idx="21">
                  <c:v>0.65109341640145013</c:v>
                </c:pt>
                <c:pt idx="22">
                  <c:v>0.65237798199466923</c:v>
                </c:pt>
                <c:pt idx="23">
                  <c:v>0.65366498868824408</c:v>
                </c:pt>
                <c:pt idx="24">
                  <c:v>0.65495436334000401</c:v>
                </c:pt>
                <c:pt idx="25">
                  <c:v>0.65624603048653474</c:v>
                </c:pt>
                <c:pt idx="26">
                  <c:v>0.65753991229218622</c:v>
                </c:pt>
                <c:pt idx="27">
                  <c:v>0.65883592849719219</c:v>
                </c:pt>
                <c:pt idx="28">
                  <c:v>0.66013399636495318</c:v>
                </c:pt>
                <c:pt idx="29">
                  <c:v>0.66143403062845696</c:v>
                </c:pt>
                <c:pt idx="30">
                  <c:v>0.66273594343583364</c:v>
                </c:pt>
                <c:pt idx="31">
                  <c:v>0.66403964429504336</c:v>
                </c:pt>
                <c:pt idx="32">
                  <c:v>0.66534504001770556</c:v>
                </c:pt>
                <c:pt idx="33">
                  <c:v>0.66665203466205225</c:v>
                </c:pt>
                <c:pt idx="34">
                  <c:v>0.66796052947501638</c:v>
                </c:pt>
                <c:pt idx="35">
                  <c:v>0.66927042283345972</c:v>
                </c:pt>
                <c:pt idx="36">
                  <c:v>0.67058161018452178</c:v>
                </c:pt>
                <c:pt idx="37">
                  <c:v>0.6718939839851169</c:v>
                </c:pt>
                <c:pt idx="38">
                  <c:v>0.67320743364057556</c:v>
                </c:pt>
                <c:pt idx="39">
                  <c:v>0.67452184544240834</c:v>
                </c:pt>
                <c:pt idx="40">
                  <c:v>0.67583710250525453</c:v>
                </c:pt>
                <c:pt idx="41">
                  <c:v>0.67715308470295588</c:v>
                </c:pt>
                <c:pt idx="42">
                  <c:v>0.67846966860381153</c:v>
                </c:pt>
                <c:pt idx="43">
                  <c:v>0.67978672740501178</c:v>
                </c:pt>
                <c:pt idx="44">
                  <c:v>0.68110413086623611</c:v>
                </c:pt>
                <c:pt idx="45">
                  <c:v>0.68242174524246479</c:v>
                </c:pt>
                <c:pt idx="46">
                  <c:v>0.68373943321599673</c:v>
                </c:pt>
                <c:pt idx="47">
                  <c:v>0.68505705382768056</c:v>
                </c:pt>
                <c:pt idx="48">
                  <c:v>0.68637446240739819</c:v>
                </c:pt>
                <c:pt idx="49">
                  <c:v>0.68769151050379707</c:v>
                </c:pt>
                <c:pt idx="50">
                  <c:v>0.68900804581330244</c:v>
                </c:pt>
                <c:pt idx="51">
                  <c:v>0.69032391210842659</c:v>
                </c:pt>
                <c:pt idx="52">
                  <c:v>0.69163894916540336</c:v>
                </c:pt>
                <c:pt idx="53">
                  <c:v>0.69295299269116473</c:v>
                </c:pt>
                <c:pt idx="54">
                  <c:v>0.69426587424969333</c:v>
                </c:pt>
                <c:pt idx="55">
                  <c:v>0.69557742118777355</c:v>
                </c:pt>
                <c:pt idx="56">
                  <c:v>0.69688745656018525</c:v>
                </c:pt>
                <c:pt idx="57">
                  <c:v>0.69819579905436324</c:v>
                </c:pt>
                <c:pt idx="58">
                  <c:v>0.69950226291455186</c:v>
                </c:pt>
                <c:pt idx="59">
                  <c:v>0.70080665786551244</c:v>
                </c:pt>
                <c:pt idx="60">
                  <c:v>0.70210878903582286</c:v>
                </c:pt>
                <c:pt idx="61">
                  <c:v>0.70340845688078679</c:v>
                </c:pt>
                <c:pt idx="62">
                  <c:v>0.70470545710502852</c:v>
                </c:pt>
                <c:pt idx="63">
                  <c:v>0.7059995805848156</c:v>
                </c:pt>
                <c:pt idx="64">
                  <c:v>0.70729061329015652</c:v>
                </c:pt>
                <c:pt idx="65">
                  <c:v>0.70857833620672839</c:v>
                </c:pt>
                <c:pt idx="66">
                  <c:v>0.70986252525770588</c:v>
                </c:pt>
                <c:pt idx="67">
                  <c:v>0.71114295122553006</c:v>
                </c:pt>
                <c:pt idx="68">
                  <c:v>0.71241937967372615</c:v>
                </c:pt>
                <c:pt idx="69">
                  <c:v>0.71369157086877222</c:v>
                </c:pt>
                <c:pt idx="70">
                  <c:v>0.71495927970217454</c:v>
                </c:pt>
                <c:pt idx="71">
                  <c:v>0.71622225561274466</c:v>
                </c:pt>
                <c:pt idx="72">
                  <c:v>0.71748024250922648</c:v>
                </c:pt>
                <c:pt idx="73">
                  <c:v>0.71873297869330521</c:v>
                </c:pt>
                <c:pt idx="74">
                  <c:v>0.71998019678314018</c:v>
                </c:pt>
                <c:pt idx="75">
                  <c:v>0.72122162363744891</c:v>
                </c:pt>
                <c:pt idx="76">
                  <c:v>0.72245698028030925</c:v>
                </c:pt>
                <c:pt idx="77">
                  <c:v>0.72368598182672994</c:v>
                </c:pt>
                <c:pt idx="78">
                  <c:v>0.72490833740912475</c:v>
                </c:pt>
                <c:pt idx="79">
                  <c:v>0.72612375010477448</c:v>
                </c:pt>
                <c:pt idx="80">
                  <c:v>0.72733191686444221</c:v>
                </c:pt>
                <c:pt idx="81">
                  <c:v>0.72853252844219119</c:v>
                </c:pt>
                <c:pt idx="82">
                  <c:v>0.72972526932660275</c:v>
                </c:pt>
                <c:pt idx="83">
                  <c:v>0.73090981767347651</c:v>
                </c:pt>
                <c:pt idx="84">
                  <c:v>0.73208584524017095</c:v>
                </c:pt>
                <c:pt idx="85">
                  <c:v>0.73325301732171932</c:v>
                </c:pt>
                <c:pt idx="86">
                  <c:v>0.73441099268887222</c:v>
                </c:pt>
                <c:pt idx="87">
                  <c:v>0.73555942352820969</c:v>
                </c:pt>
                <c:pt idx="88">
                  <c:v>0.736697955384508</c:v>
                </c:pt>
                <c:pt idx="89">
                  <c:v>0.73782622710546886</c:v>
                </c:pt>
                <c:pt idx="90">
                  <c:v>0.73894387078905588</c:v>
                </c:pt>
                <c:pt idx="91">
                  <c:v>0.74005051173354508</c:v>
                </c:pt>
                <c:pt idx="92">
                  <c:v>0.74114576839051716</c:v>
                </c:pt>
                <c:pt idx="93">
                  <c:v>0.74222925232095038</c:v>
                </c:pt>
                <c:pt idx="94">
                  <c:v>0.74330056815462542</c:v>
                </c:pt>
                <c:pt idx="95">
                  <c:v>0.74435931355301566</c:v>
                </c:pt>
                <c:pt idx="96">
                  <c:v>0.7454050791759097</c:v>
                </c:pt>
                <c:pt idx="97">
                  <c:v>0.74643744865193684</c:v>
                </c:pt>
                <c:pt idx="98">
                  <c:v>0.74745599855321332</c:v>
                </c:pt>
                <c:pt idx="99">
                  <c:v>0.74846029837437089</c:v>
                </c:pt>
              </c:numCache>
            </c:numRef>
          </c:val>
          <c:smooth val="0"/>
        </c:ser>
        <c:ser>
          <c:idx val="8"/>
          <c:order val="8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'-'!$Q$4:$Q$103</c:f>
              <c:numCache>
                <c:formatCode>General</c:formatCode>
                <c:ptCount val="100"/>
                <c:pt idx="0">
                  <c:v>0.62324338779469324</c:v>
                </c:pt>
                <c:pt idx="1">
                  <c:v>0.62436365742156685</c:v>
                </c:pt>
                <c:pt idx="2">
                  <c:v>0.62548666579638768</c:v>
                </c:pt>
                <c:pt idx="3">
                  <c:v>0.62661237187655472</c:v>
                </c:pt>
                <c:pt idx="4">
                  <c:v>0.62774073315749224</c:v>
                </c:pt>
                <c:pt idx="5">
                  <c:v>0.62887170563887684</c:v>
                </c:pt>
                <c:pt idx="6">
                  <c:v>0.63000524379019907</c:v>
                </c:pt>
                <c:pt idx="7">
                  <c:v>0.63114130051567197</c:v>
                </c:pt>
                <c:pt idx="8">
                  <c:v>0.6322798271184833</c:v>
                </c:pt>
                <c:pt idx="9">
                  <c:v>0.63342077326438517</c:v>
                </c:pt>
                <c:pt idx="10">
                  <c:v>0.63456408694459254</c:v>
                </c:pt>
                <c:pt idx="11">
                  <c:v>0.63570971443801161</c:v>
                </c:pt>
                <c:pt idx="12">
                  <c:v>0.63685760027277116</c:v>
                </c:pt>
                <c:pt idx="13">
                  <c:v>0.63800768718704959</c:v>
                </c:pt>
                <c:pt idx="14">
                  <c:v>0.6391599160892083</c:v>
                </c:pt>
                <c:pt idx="15">
                  <c:v>0.64031422601719923</c:v>
                </c:pt>
                <c:pt idx="16">
                  <c:v>0.64147055409726461</c:v>
                </c:pt>
                <c:pt idx="17">
                  <c:v>0.64262883550190397</c:v>
                </c:pt>
                <c:pt idx="18">
                  <c:v>0.64378900340710932</c:v>
                </c:pt>
                <c:pt idx="19">
                  <c:v>0.64495098894886871</c:v>
                </c:pt>
                <c:pt idx="20">
                  <c:v>0.64611472117891955</c:v>
                </c:pt>
                <c:pt idx="21">
                  <c:v>0.64728012701975779</c:v>
                </c:pt>
                <c:pt idx="22">
                  <c:v>0.64844713121889686</c:v>
                </c:pt>
                <c:pt idx="23">
                  <c:v>0.64961565630236096</c:v>
                </c:pt>
                <c:pt idx="24">
                  <c:v>0.65078562252742844</c:v>
                </c:pt>
                <c:pt idx="25">
                  <c:v>0.65195694783460267</c:v>
                </c:pt>
                <c:pt idx="26">
                  <c:v>0.65312954779882049</c:v>
                </c:pt>
                <c:pt idx="27">
                  <c:v>0.65430333557988618</c:v>
                </c:pt>
                <c:pt idx="28">
                  <c:v>0.655478221872139</c:v>
                </c:pt>
                <c:pt idx="29">
                  <c:v>0.65665411485334846</c:v>
                </c:pt>
                <c:pt idx="30">
                  <c:v>0.6578309201328294</c:v>
                </c:pt>
                <c:pt idx="31">
                  <c:v>0.65900854069879333</c:v>
                </c:pt>
                <c:pt idx="32">
                  <c:v>0.66018687686491884</c:v>
                </c:pt>
                <c:pt idx="33">
                  <c:v>0.66136582621616125</c:v>
                </c:pt>
                <c:pt idx="34">
                  <c:v>0.6625452835537845</c:v>
                </c:pt>
                <c:pt idx="35">
                  <c:v>0.66372514083963263</c:v>
                </c:pt>
                <c:pt idx="36">
                  <c:v>0.66490528713963948</c:v>
                </c:pt>
                <c:pt idx="37">
                  <c:v>0.66608560856658405</c:v>
                </c:pt>
                <c:pt idx="38">
                  <c:v>0.66726598822209426</c:v>
                </c:pt>
                <c:pt idx="39">
                  <c:v>0.66844630613790545</c:v>
                </c:pt>
                <c:pt idx="40">
                  <c:v>0.66962643921639264</c:v>
                </c:pt>
                <c:pt idx="41">
                  <c:v>0.67080626117036357</c:v>
                </c:pt>
                <c:pt idx="42">
                  <c:v>0.67198564246215209</c:v>
                </c:pt>
                <c:pt idx="43">
                  <c:v>0.67316445024199922</c:v>
                </c:pt>
                <c:pt idx="44">
                  <c:v>0.67434254828574314</c:v>
                </c:pt>
                <c:pt idx="45">
                  <c:v>0.67551979693183761</c:v>
                </c:pt>
                <c:pt idx="46">
                  <c:v>0.67669605301771696</c:v>
                </c:pt>
                <c:pt idx="47">
                  <c:v>0.67787116981549489</c:v>
                </c:pt>
                <c:pt idx="48">
                  <c:v>0.67904499696707588</c:v>
                </c:pt>
                <c:pt idx="49">
                  <c:v>0.68021738041862989</c:v>
                </c:pt>
                <c:pt idx="50">
                  <c:v>0.68138816235450594</c:v>
                </c:pt>
                <c:pt idx="51">
                  <c:v>0.68255718113058472</c:v>
                </c:pt>
                <c:pt idx="52">
                  <c:v>0.68372427120710566</c:v>
                </c:pt>
                <c:pt idx="53">
                  <c:v>0.68488926308097953</c:v>
                </c:pt>
                <c:pt idx="54">
                  <c:v>0.68605198321764005</c:v>
                </c:pt>
                <c:pt idx="55">
                  <c:v>0.68721225398245767</c:v>
                </c:pt>
                <c:pt idx="56">
                  <c:v>0.68836989357173761</c:v>
                </c:pt>
                <c:pt idx="57">
                  <c:v>0.68952471594335518</c:v>
                </c:pt>
                <c:pt idx="58">
                  <c:v>0.69067653074705715</c:v>
                </c:pt>
                <c:pt idx="59">
                  <c:v>0.6918251432544904</c:v>
                </c:pt>
                <c:pt idx="60">
                  <c:v>0.69297035428895704</c:v>
                </c:pt>
                <c:pt idx="61">
                  <c:v>0.6941119601550062</c:v>
                </c:pt>
                <c:pt idx="62">
                  <c:v>0.69524975256784494</c:v>
                </c:pt>
                <c:pt idx="63">
                  <c:v>0.69638351858268277</c:v>
                </c:pt>
                <c:pt idx="64">
                  <c:v>0.69751304052401486</c:v>
                </c:pt>
                <c:pt idx="65">
                  <c:v>0.69863809591493042</c:v>
                </c:pt>
                <c:pt idx="66">
                  <c:v>0.69975845740650366</c:v>
                </c:pt>
                <c:pt idx="67">
                  <c:v>0.70087389270732925</c:v>
                </c:pt>
                <c:pt idx="68">
                  <c:v>0.70198416451325596</c:v>
                </c:pt>
                <c:pt idx="69">
                  <c:v>0.70308903043742377</c:v>
                </c:pt>
                <c:pt idx="70">
                  <c:v>0.70418824294064575</c:v>
                </c:pt>
                <c:pt idx="71">
                  <c:v>0.70528154926223185</c:v>
                </c:pt>
                <c:pt idx="72">
                  <c:v>0.70636869135133507</c:v>
                </c:pt>
                <c:pt idx="73">
                  <c:v>0.70744940579889626</c:v>
                </c:pt>
                <c:pt idx="74">
                  <c:v>0.70852342377029998</c:v>
                </c:pt>
                <c:pt idx="75">
                  <c:v>0.70959047093879735</c:v>
                </c:pt>
                <c:pt idx="76">
                  <c:v>0.71065026741984694</c:v>
                </c:pt>
                <c:pt idx="77">
                  <c:v>0.71170252770642539</c:v>
                </c:pt>
                <c:pt idx="78">
                  <c:v>0.71274696060544696</c:v>
                </c:pt>
                <c:pt idx="79">
                  <c:v>0.71378326917539836</c:v>
                </c:pt>
                <c:pt idx="80">
                  <c:v>0.71481115066529421</c:v>
                </c:pt>
                <c:pt idx="81">
                  <c:v>0.71583029645507978</c:v>
                </c:pt>
                <c:pt idx="82">
                  <c:v>0.71684039199761873</c:v>
                </c:pt>
                <c:pt idx="83">
                  <c:v>0.71784111676237283</c:v>
                </c:pt>
                <c:pt idx="84">
                  <c:v>0.71883214418093777</c:v>
                </c:pt>
                <c:pt idx="85">
                  <c:v>0.71981314159453835</c:v>
                </c:pt>
                <c:pt idx="86">
                  <c:v>0.72078377020367279</c:v>
                </c:pt>
                <c:pt idx="87">
                  <c:v>0.7217436850200184</c:v>
                </c:pt>
                <c:pt idx="88">
                  <c:v>0.72269253482078366</c:v>
                </c:pt>
                <c:pt idx="89">
                  <c:v>0.72362996210563935</c:v>
                </c:pt>
                <c:pt idx="90">
                  <c:v>0.72455560305642341</c:v>
                </c:pt>
                <c:pt idx="91">
                  <c:v>0.72546908749977468</c:v>
                </c:pt>
                <c:pt idx="92">
                  <c:v>0.72637003887287532</c:v>
                </c:pt>
                <c:pt idx="93">
                  <c:v>0.72725807419248589</c:v>
                </c:pt>
                <c:pt idx="94">
                  <c:v>0.72813280402746461</c:v>
                </c:pt>
                <c:pt idx="95">
                  <c:v>0.72899383247495364</c:v>
                </c:pt>
                <c:pt idx="96">
                  <c:v>0.72984075714044983</c:v>
                </c:pt>
                <c:pt idx="97">
                  <c:v>0.73067316912193647</c:v>
                </c:pt>
                <c:pt idx="98">
                  <c:v>0.73149065299831295</c:v>
                </c:pt>
                <c:pt idx="99">
                  <c:v>0.73229278682232268</c:v>
                </c:pt>
              </c:numCache>
            </c:numRef>
          </c:val>
          <c:smooth val="0"/>
        </c:ser>
        <c:ser>
          <c:idx val="9"/>
          <c:order val="9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'-'!$R$4:$R$103</c:f>
              <c:numCache>
                <c:formatCode>General</c:formatCode>
                <c:ptCount val="100"/>
                <c:pt idx="0">
                  <c:v>0.8133670011244527</c:v>
                </c:pt>
                <c:pt idx="1">
                  <c:v>0.81367599882515862</c:v>
                </c:pt>
                <c:pt idx="2">
                  <c:v>0.8139802459584089</c:v>
                </c:pt>
                <c:pt idx="3">
                  <c:v>0.81427962961038636</c:v>
                </c:pt>
                <c:pt idx="4">
                  <c:v>0.81457403486610969</c:v>
                </c:pt>
                <c:pt idx="5">
                  <c:v>0.8148633447788165</c:v>
                </c:pt>
                <c:pt idx="6">
                  <c:v>0.81514744033906716</c:v>
                </c:pt>
                <c:pt idx="7">
                  <c:v>0.81542620044354175</c:v>
                </c:pt>
                <c:pt idx="8">
                  <c:v>0.81569950186354523</c:v>
                </c:pt>
                <c:pt idx="9">
                  <c:v>0.81596721921323334</c:v>
                </c:pt>
                <c:pt idx="10">
                  <c:v>0.81622922491754879</c:v>
                </c:pt>
                <c:pt idx="11">
                  <c:v>0.81648538917989177</c:v>
                </c:pt>
                <c:pt idx="12">
                  <c:v>0.81673557994952684</c:v>
                </c:pt>
                <c:pt idx="13">
                  <c:v>0.81697966288872725</c:v>
                </c:pt>
                <c:pt idx="14">
                  <c:v>0.8172175013396713</c:v>
                </c:pt>
                <c:pt idx="15">
                  <c:v>0.81744895629111036</c:v>
                </c:pt>
                <c:pt idx="16">
                  <c:v>0.81767388634479188</c:v>
                </c:pt>
                <c:pt idx="17">
                  <c:v>0.81789214768167229</c:v>
                </c:pt>
                <c:pt idx="18">
                  <c:v>0.81810359402792499</c:v>
                </c:pt>
                <c:pt idx="19">
                  <c:v>0.81830807662075511</c:v>
                </c:pt>
                <c:pt idx="20">
                  <c:v>0.81850544417401905</c:v>
                </c:pt>
                <c:pt idx="21">
                  <c:v>0.81869554284369905</c:v>
                </c:pt>
                <c:pt idx="22">
                  <c:v>0.8188782161932</c:v>
                </c:pt>
                <c:pt idx="23">
                  <c:v>0.81905330515852803</c:v>
                </c:pt>
                <c:pt idx="24">
                  <c:v>0.81922064801334382</c:v>
                </c:pt>
                <c:pt idx="25">
                  <c:v>0.81938008033389909</c:v>
                </c:pt>
                <c:pt idx="26">
                  <c:v>0.81953143496391234</c:v>
                </c:pt>
                <c:pt idx="27">
                  <c:v>0.81967454197935463</c:v>
                </c:pt>
                <c:pt idx="28">
                  <c:v>0.81980922865320416</c:v>
                </c:pt>
                <c:pt idx="29">
                  <c:v>0.81993531942018105</c:v>
                </c:pt>
                <c:pt idx="30">
                  <c:v>0.82005263584146926</c:v>
                </c:pt>
                <c:pt idx="31">
                  <c:v>0.82016099656946972</c:v>
                </c:pt>
                <c:pt idx="32">
                  <c:v>0.82026021731260279</c:v>
                </c:pt>
                <c:pt idx="33">
                  <c:v>0.82035011080018916</c:v>
                </c:pt>
                <c:pt idx="34">
                  <c:v>0.82043048674742425</c:v>
                </c:pt>
                <c:pt idx="35">
                  <c:v>0.82050115182048677</c:v>
                </c:pt>
                <c:pt idx="36">
                  <c:v>0.82056190960183051</c:v>
                </c:pt>
                <c:pt idx="37">
                  <c:v>0.82061256055564169</c:v>
                </c:pt>
                <c:pt idx="38">
                  <c:v>0.82065290199354957</c:v>
                </c:pt>
                <c:pt idx="39">
                  <c:v>0.82068272804058229</c:v>
                </c:pt>
                <c:pt idx="40">
                  <c:v>0.82070182960145144</c:v>
                </c:pt>
                <c:pt idx="41">
                  <c:v>0.82070999432712932</c:v>
                </c:pt>
                <c:pt idx="42">
                  <c:v>0.82070700658186668</c:v>
                </c:pt>
                <c:pt idx="43">
                  <c:v>0.82069264741058112</c:v>
                </c:pt>
                <c:pt idx="44">
                  <c:v>0.82066669450674024</c:v>
                </c:pt>
                <c:pt idx="45">
                  <c:v>0.82062892218073702</c:v>
                </c:pt>
                <c:pt idx="46">
                  <c:v>0.82057910132884648</c:v>
                </c:pt>
                <c:pt idx="47">
                  <c:v>0.82051699940276623</c:v>
                </c:pt>
                <c:pt idx="48">
                  <c:v>0.8204423803798363</c:v>
                </c:pt>
                <c:pt idx="49">
                  <c:v>0.82035500473396006</c:v>
                </c:pt>
                <c:pt idx="50">
                  <c:v>0.82025462940729965</c:v>
                </c:pt>
                <c:pt idx="51">
                  <c:v>0.8201410077828013</c:v>
                </c:pt>
                <c:pt idx="52">
                  <c:v>0.82001388965759425</c:v>
                </c:pt>
                <c:pt idx="53">
                  <c:v>0.81987302121737127</c:v>
                </c:pt>
                <c:pt idx="54">
                  <c:v>0.81971814501173379</c:v>
                </c:pt>
                <c:pt idx="55">
                  <c:v>0.81954899993067465</c:v>
                </c:pt>
                <c:pt idx="56">
                  <c:v>0.81936532118217043</c:v>
                </c:pt>
                <c:pt idx="57">
                  <c:v>0.81916684027102316</c:v>
                </c:pt>
                <c:pt idx="58">
                  <c:v>0.8189532849789799</c:v>
                </c:pt>
                <c:pt idx="59">
                  <c:v>0.81872437934625919</c:v>
                </c:pt>
                <c:pt idx="60">
                  <c:v>0.81847984365449156</c:v>
                </c:pt>
                <c:pt idx="61">
                  <c:v>0.81821939441125002</c:v>
                </c:pt>
                <c:pt idx="62">
                  <c:v>0.81794274433615499</c:v>
                </c:pt>
                <c:pt idx="63">
                  <c:v>0.81764960234873962</c:v>
                </c:pt>
                <c:pt idx="64">
                  <c:v>0.81733967355808246</c:v>
                </c:pt>
                <c:pt idx="65">
                  <c:v>0.81701265925436051</c:v>
                </c:pt>
                <c:pt idx="66">
                  <c:v>0.81666825690239153</c:v>
                </c:pt>
                <c:pt idx="67">
                  <c:v>0.81630616013727963</c:v>
                </c:pt>
                <c:pt idx="68">
                  <c:v>0.81592605876225055</c:v>
                </c:pt>
                <c:pt idx="69">
                  <c:v>0.81552763874880096</c:v>
                </c:pt>
                <c:pt idx="70">
                  <c:v>0.81511058223925936</c:v>
                </c:pt>
                <c:pt idx="71">
                  <c:v>0.81467456755187817</c:v>
                </c:pt>
                <c:pt idx="72">
                  <c:v>0.81421926918856502</c:v>
                </c:pt>
                <c:pt idx="73">
                  <c:v>0.8137443578453748</c:v>
                </c:pt>
                <c:pt idx="74">
                  <c:v>0.81324950042589816</c:v>
                </c:pt>
                <c:pt idx="75">
                  <c:v>0.81273436005763777</c:v>
                </c:pt>
                <c:pt idx="76">
                  <c:v>0.81219859611154344</c:v>
                </c:pt>
                <c:pt idx="77">
                  <c:v>0.81164186422479812</c:v>
                </c:pt>
                <c:pt idx="78">
                  <c:v>0.81106381632700963</c:v>
                </c:pt>
                <c:pt idx="79">
                  <c:v>0.810464100669953</c:v>
                </c:pt>
                <c:pt idx="80">
                  <c:v>0.80984236186098146</c:v>
                </c:pt>
                <c:pt idx="81">
                  <c:v>0.80919824090025705</c:v>
                </c:pt>
                <c:pt idx="82">
                  <c:v>0.80853137522197183</c:v>
                </c:pt>
                <c:pt idx="83">
                  <c:v>0.80784139873966321</c:v>
                </c:pt>
                <c:pt idx="84">
                  <c:v>0.80712794189581516</c:v>
                </c:pt>
                <c:pt idx="85">
                  <c:v>0.80639063171588365</c:v>
                </c:pt>
                <c:pt idx="86">
                  <c:v>0.80562909186690801</c:v>
                </c:pt>
                <c:pt idx="87">
                  <c:v>0.80484294272085755</c:v>
                </c:pt>
                <c:pt idx="88">
                  <c:v>0.80403180142289254</c:v>
                </c:pt>
                <c:pt idx="89">
                  <c:v>0.80319528196469292</c:v>
                </c:pt>
                <c:pt idx="90">
                  <c:v>0.80233299526303725</c:v>
                </c:pt>
                <c:pt idx="91">
                  <c:v>0.80144454924376329</c:v>
                </c:pt>
                <c:pt idx="92">
                  <c:v>0.80052954893133998</c:v>
                </c:pt>
                <c:pt idx="93">
                  <c:v>0.79958759654416312</c:v>
                </c:pt>
                <c:pt idx="94">
                  <c:v>0.79861829159579878</c:v>
                </c:pt>
                <c:pt idx="95">
                  <c:v>0.79762123100231352</c:v>
                </c:pt>
                <c:pt idx="96">
                  <c:v>0.79659600919587648</c:v>
                </c:pt>
                <c:pt idx="97">
                  <c:v>0.7955422182448485</c:v>
                </c:pt>
                <c:pt idx="98">
                  <c:v>0.79445944798046186</c:v>
                </c:pt>
                <c:pt idx="99">
                  <c:v>0.79334728613033612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9653400"/>
        <c:axId val="269651832"/>
      </c:lineChart>
      <c:catAx>
        <c:axId val="269653400"/>
        <c:scaling>
          <c:orientation val="minMax"/>
        </c:scaling>
        <c:delete val="0"/>
        <c:axPos val="b"/>
        <c:majorTickMark val="out"/>
        <c:minorTickMark val="in"/>
        <c:tickLblPos val="nextTo"/>
        <c:spPr>
          <a:noFill/>
          <a:ln w="31750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651832"/>
        <c:crosses val="autoZero"/>
        <c:auto val="1"/>
        <c:lblAlgn val="ctr"/>
        <c:lblOffset val="100"/>
        <c:tickLblSkip val="99"/>
        <c:tickMarkSkip val="25"/>
        <c:noMultiLvlLbl val="0"/>
      </c:catAx>
      <c:valAx>
        <c:axId val="269651832"/>
        <c:scaling>
          <c:orientation val="minMax"/>
          <c:min val="0.30000000000000004"/>
        </c:scaling>
        <c:delete val="0"/>
        <c:axPos val="l"/>
        <c:majorGridlines>
          <c:spPr>
            <a:ln w="2857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in"/>
        <c:minorTickMark val="in"/>
        <c:tickLblPos val="nextTo"/>
        <c:spPr>
          <a:noFill/>
          <a:ln w="28575">
            <a:solidFill>
              <a:schemeClr val="tx1">
                <a:lumMod val="75000"/>
                <a:lumOff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65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cust"/>
            <c:noEndCap val="0"/>
            <c:plus>
              <c:numRef>
                <c:f>'-'!$T$4:$T$103</c:f>
                <c:numCache>
                  <c:formatCode>General</c:formatCode>
                  <c:ptCount val="100"/>
                  <c:pt idx="0">
                    <c:v>0.12366223568638968</c:v>
                  </c:pt>
                  <c:pt idx="1">
                    <c:v>0.12353372495898314</c:v>
                  </c:pt>
                  <c:pt idx="2">
                    <c:v>0.12340356718424816</c:v>
                  </c:pt>
                  <c:pt idx="3">
                    <c:v>0.12327174532784002</c:v>
                  </c:pt>
                  <c:pt idx="4">
                    <c:v>0.12313824225740717</c:v>
                  </c:pt>
                  <c:pt idx="5">
                    <c:v>0.12300304074533995</c:v>
                  </c:pt>
                  <c:pt idx="6">
                    <c:v>0.12286612347169532</c:v>
                  </c:pt>
                  <c:pt idx="7">
                    <c:v>0.12272747302729044</c:v>
                  </c:pt>
                  <c:pt idx="8">
                    <c:v>0.12258707191697947</c:v>
                  </c:pt>
                  <c:pt idx="9">
                    <c:v>0.12244490256311227</c:v>
                  </c:pt>
                  <c:pt idx="10">
                    <c:v>0.12230094730920124</c:v>
                  </c:pt>
                  <c:pt idx="11">
                    <c:v>0.1221551884237761</c:v>
                  </c:pt>
                  <c:pt idx="12">
                    <c:v>0.12200760810445961</c:v>
                  </c:pt>
                  <c:pt idx="13">
                    <c:v>0.12185818848225259</c:v>
                  </c:pt>
                  <c:pt idx="14">
                    <c:v>0.12170691162604304</c:v>
                  </c:pt>
                  <c:pt idx="15">
                    <c:v>0.12155375954735972</c:v>
                  </c:pt>
                  <c:pt idx="16">
                    <c:v>0.12139871420535207</c:v>
                  </c:pt>
                  <c:pt idx="17">
                    <c:v>0.12124175751202887</c:v>
                  </c:pt>
                  <c:pt idx="18">
                    <c:v>0.12108287133775228</c:v>
                  </c:pt>
                  <c:pt idx="19">
                    <c:v>0.12092203751700197</c:v>
                  </c:pt>
                  <c:pt idx="20">
                    <c:v>0.1207592378544108</c:v>
                  </c:pt>
                  <c:pt idx="21">
                    <c:v>0.12059445413109632</c:v>
                  </c:pt>
                  <c:pt idx="22">
                    <c:v>0.12042766811127183</c:v>
                  </c:pt>
                  <c:pt idx="23">
                    <c:v>0.12025886154918564</c:v>
                  </c:pt>
                  <c:pt idx="24">
                    <c:v>0.12008801619635526</c:v>
                  </c:pt>
                  <c:pt idx="25">
                    <c:v>0.11991511380914863</c:v>
                  </c:pt>
                  <c:pt idx="26">
                    <c:v>0.11974013615668302</c:v>
                  </c:pt>
                  <c:pt idx="27">
                    <c:v>0.11956306502908835</c:v>
                  </c:pt>
                  <c:pt idx="28">
                    <c:v>0.11938388224612573</c:v>
                  </c:pt>
                  <c:pt idx="29">
                    <c:v>0.11920256966618248</c:v>
                  </c:pt>
                  <c:pt idx="30">
                    <c:v>0.11901910919564102</c:v>
                  </c:pt>
                  <c:pt idx="31">
                    <c:v>0.11883348279865659</c:v>
                  </c:pt>
                  <c:pt idx="32">
                    <c:v>0.11864567250733635</c:v>
                  </c:pt>
                  <c:pt idx="33">
                    <c:v>0.11845566043235331</c:v>
                  </c:pt>
                  <c:pt idx="34">
                    <c:v>0.11826342877397096</c:v>
                  </c:pt>
                  <c:pt idx="35">
                    <c:v>0.11806895983355042</c:v>
                  </c:pt>
                  <c:pt idx="36">
                    <c:v>0.11787223602549049</c:v>
                  </c:pt>
                  <c:pt idx="37">
                    <c:v>0.11767323988966709</c:v>
                  </c:pt>
                  <c:pt idx="38">
                    <c:v>0.1174719541043501</c:v>
                  </c:pt>
                  <c:pt idx="39">
                    <c:v>0.11726836149963993</c:v>
                  </c:pt>
                  <c:pt idx="40">
                    <c:v>0.1170624450714108</c:v>
                  </c:pt>
                  <c:pt idx="41">
                    <c:v>0.11685418799580424</c:v>
                  </c:pt>
                  <c:pt idx="42">
                    <c:v>0.11664357364426972</c:v>
                  </c:pt>
                  <c:pt idx="43">
                    <c:v>0.11643058559917652</c:v>
                  </c:pt>
                  <c:pt idx="44">
                    <c:v>0.11621520767000881</c:v>
                  </c:pt>
                  <c:pt idx="45">
                    <c:v>0.11599742391016098</c:v>
                  </c:pt>
                  <c:pt idx="46">
                    <c:v>0.11577721863436172</c:v>
                  </c:pt>
                  <c:pt idx="47">
                    <c:v>0.11555457643671617</c:v>
                  </c:pt>
                  <c:pt idx="48">
                    <c:v>0.1153294822094181</c:v>
                  </c:pt>
                  <c:pt idx="49">
                    <c:v>0.11510192116212857</c:v>
                  </c:pt>
                  <c:pt idx="50">
                    <c:v>0.11487187884203481</c:v>
                  </c:pt>
                  <c:pt idx="51">
                    <c:v>0.11463934115462288</c:v>
                  </c:pt>
                  <c:pt idx="52">
                    <c:v>0.11440429438517942</c:v>
                  </c:pt>
                  <c:pt idx="53">
                    <c:v>0.11416672522102045</c:v>
                  </c:pt>
                  <c:pt idx="54">
                    <c:v>0.11392662077450841</c:v>
                  </c:pt>
                  <c:pt idx="55">
                    <c:v>0.11368396860681894</c:v>
                  </c:pt>
                  <c:pt idx="56">
                    <c:v>0.11343875675253055</c:v>
                  </c:pt>
                  <c:pt idx="57">
                    <c:v>0.11319097374502161</c:v>
                  </c:pt>
                  <c:pt idx="58">
                    <c:v>0.1129406086427093</c:v>
                  </c:pt>
                  <c:pt idx="59">
                    <c:v>0.11268765105613261</c:v>
                  </c:pt>
                  <c:pt idx="60">
                    <c:v>0.11243209117592914</c:v>
                  </c:pt>
                  <c:pt idx="61">
                    <c:v>0.112173919801688</c:v>
                  </c:pt>
                  <c:pt idx="62">
                    <c:v>0.11191312837172962</c:v>
                  </c:pt>
                  <c:pt idx="63">
                    <c:v>0.11164970899380053</c:v>
                  </c:pt>
                  <c:pt idx="64">
                    <c:v>0.11138365447672459</c:v>
                  </c:pt>
                  <c:pt idx="65">
                    <c:v>0.11111495836303172</c:v>
                  </c:pt>
                  <c:pt idx="66">
                    <c:v>0.11084361496254529</c:v>
                  </c:pt>
                  <c:pt idx="67">
                    <c:v>0.11056961938699936</c:v>
                  </c:pt>
                  <c:pt idx="68">
                    <c:v>0.11029296758564611</c:v>
                  </c:pt>
                  <c:pt idx="69">
                    <c:v>0.11001365638192834</c:v>
                  </c:pt>
                  <c:pt idx="70">
                    <c:v>0.1097316835111717</c:v>
                  </c:pt>
                  <c:pt idx="71">
                    <c:v>0.10944704765936079</c:v>
                  </c:pt>
                  <c:pt idx="72">
                    <c:v>0.1091597485029866</c:v>
                  </c:pt>
                  <c:pt idx="73">
                    <c:v>0.10886978674997842</c:v>
                  </c:pt>
                  <c:pt idx="74">
                    <c:v>0.10857716418175511</c:v>
                  </c:pt>
                  <c:pt idx="75">
                    <c:v>0.10828188369637468</c:v>
                  </c:pt>
                  <c:pt idx="76">
                    <c:v>0.10798394935280708</c:v>
                  </c:pt>
                  <c:pt idx="77">
                    <c:v>0.10768336641634269</c:v>
                  </c:pt>
                  <c:pt idx="78">
                    <c:v>0.1073801414051383</c:v>
                  </c:pt>
                  <c:pt idx="79">
                    <c:v>0.10707428213789164</c:v>
                  </c:pt>
                  <c:pt idx="80">
                    <c:v>0.10676579778267291</c:v>
                  </c:pt>
                  <c:pt idx="81">
                    <c:v>0.10645469890688838</c:v>
                  </c:pt>
                  <c:pt idx="82">
                    <c:v>0.10614099752838364</c:v>
                  </c:pt>
                  <c:pt idx="83">
                    <c:v>0.10582470716769836</c:v>
                  </c:pt>
                  <c:pt idx="84">
                    <c:v>0.10550584290142315</c:v>
                  </c:pt>
                  <c:pt idx="85">
                    <c:v>0.10518442141668903</c:v>
                  </c:pt>
                  <c:pt idx="86">
                    <c:v>0.10486046106676777</c:v>
                  </c:pt>
                  <c:pt idx="87">
                    <c:v>0.10453398192773368</c:v>
                  </c:pt>
                  <c:pt idx="88">
                    <c:v>0.10420500585621485</c:v>
                  </c:pt>
                  <c:pt idx="89">
                    <c:v>0.10387355654816396</c:v>
                  </c:pt>
                  <c:pt idx="90">
                    <c:v>0.10353965959865007</c:v>
                  </c:pt>
                  <c:pt idx="91">
                    <c:v>0.1032033425626184</c:v>
                  </c:pt>
                  <c:pt idx="92">
                    <c:v>0.10286463501659246</c:v>
                  </c:pt>
                  <c:pt idx="93">
                    <c:v>0.1025235686212449</c:v>
                  </c:pt>
                  <c:pt idx="94">
                    <c:v>0.10218017718484021</c:v>
                  </c:pt>
                  <c:pt idx="95">
                    <c:v>0.10183449672741934</c:v>
                  </c:pt>
                  <c:pt idx="96">
                    <c:v>0.10148656554573927</c:v>
                  </c:pt>
                  <c:pt idx="97">
                    <c:v>0.10113642427882197</c:v>
                  </c:pt>
                  <c:pt idx="98">
                    <c:v>0.10078411597409767</c:v>
                  </c:pt>
                  <c:pt idx="99">
                    <c:v>0.1004296861540096</c:v>
                  </c:pt>
                </c:numCache>
              </c:numRef>
            </c:plus>
            <c:minus>
              <c:numRef>
                <c:f>'-'!$T$4:$T$103</c:f>
                <c:numCache>
                  <c:formatCode>General</c:formatCode>
                  <c:ptCount val="100"/>
                  <c:pt idx="0">
                    <c:v>0.12366223568638968</c:v>
                  </c:pt>
                  <c:pt idx="1">
                    <c:v>0.12353372495898314</c:v>
                  </c:pt>
                  <c:pt idx="2">
                    <c:v>0.12340356718424816</c:v>
                  </c:pt>
                  <c:pt idx="3">
                    <c:v>0.12327174532784002</c:v>
                  </c:pt>
                  <c:pt idx="4">
                    <c:v>0.12313824225740717</c:v>
                  </c:pt>
                  <c:pt idx="5">
                    <c:v>0.12300304074533995</c:v>
                  </c:pt>
                  <c:pt idx="6">
                    <c:v>0.12286612347169532</c:v>
                  </c:pt>
                  <c:pt idx="7">
                    <c:v>0.12272747302729044</c:v>
                  </c:pt>
                  <c:pt idx="8">
                    <c:v>0.12258707191697947</c:v>
                  </c:pt>
                  <c:pt idx="9">
                    <c:v>0.12244490256311227</c:v>
                  </c:pt>
                  <c:pt idx="10">
                    <c:v>0.12230094730920124</c:v>
                  </c:pt>
                  <c:pt idx="11">
                    <c:v>0.1221551884237761</c:v>
                  </c:pt>
                  <c:pt idx="12">
                    <c:v>0.12200760810445961</c:v>
                  </c:pt>
                  <c:pt idx="13">
                    <c:v>0.12185818848225259</c:v>
                  </c:pt>
                  <c:pt idx="14">
                    <c:v>0.12170691162604304</c:v>
                  </c:pt>
                  <c:pt idx="15">
                    <c:v>0.12155375954735972</c:v>
                  </c:pt>
                  <c:pt idx="16">
                    <c:v>0.12139871420535207</c:v>
                  </c:pt>
                  <c:pt idx="17">
                    <c:v>0.12124175751202887</c:v>
                  </c:pt>
                  <c:pt idx="18">
                    <c:v>0.12108287133775228</c:v>
                  </c:pt>
                  <c:pt idx="19">
                    <c:v>0.12092203751700197</c:v>
                  </c:pt>
                  <c:pt idx="20">
                    <c:v>0.1207592378544108</c:v>
                  </c:pt>
                  <c:pt idx="21">
                    <c:v>0.12059445413109632</c:v>
                  </c:pt>
                  <c:pt idx="22">
                    <c:v>0.12042766811127183</c:v>
                  </c:pt>
                  <c:pt idx="23">
                    <c:v>0.12025886154918564</c:v>
                  </c:pt>
                  <c:pt idx="24">
                    <c:v>0.12008801619635526</c:v>
                  </c:pt>
                  <c:pt idx="25">
                    <c:v>0.11991511380914863</c:v>
                  </c:pt>
                  <c:pt idx="26">
                    <c:v>0.11974013615668302</c:v>
                  </c:pt>
                  <c:pt idx="27">
                    <c:v>0.11956306502908835</c:v>
                  </c:pt>
                  <c:pt idx="28">
                    <c:v>0.11938388224612573</c:v>
                  </c:pt>
                  <c:pt idx="29">
                    <c:v>0.11920256966618248</c:v>
                  </c:pt>
                  <c:pt idx="30">
                    <c:v>0.11901910919564102</c:v>
                  </c:pt>
                  <c:pt idx="31">
                    <c:v>0.11883348279865659</c:v>
                  </c:pt>
                  <c:pt idx="32">
                    <c:v>0.11864567250733635</c:v>
                  </c:pt>
                  <c:pt idx="33">
                    <c:v>0.11845566043235331</c:v>
                  </c:pt>
                  <c:pt idx="34">
                    <c:v>0.11826342877397096</c:v>
                  </c:pt>
                  <c:pt idx="35">
                    <c:v>0.11806895983355042</c:v>
                  </c:pt>
                  <c:pt idx="36">
                    <c:v>0.11787223602549049</c:v>
                  </c:pt>
                  <c:pt idx="37">
                    <c:v>0.11767323988966709</c:v>
                  </c:pt>
                  <c:pt idx="38">
                    <c:v>0.1174719541043501</c:v>
                  </c:pt>
                  <c:pt idx="39">
                    <c:v>0.11726836149963993</c:v>
                  </c:pt>
                  <c:pt idx="40">
                    <c:v>0.1170624450714108</c:v>
                  </c:pt>
                  <c:pt idx="41">
                    <c:v>0.11685418799580424</c:v>
                  </c:pt>
                  <c:pt idx="42">
                    <c:v>0.11664357364426972</c:v>
                  </c:pt>
                  <c:pt idx="43">
                    <c:v>0.11643058559917652</c:v>
                  </c:pt>
                  <c:pt idx="44">
                    <c:v>0.11621520767000881</c:v>
                  </c:pt>
                  <c:pt idx="45">
                    <c:v>0.11599742391016098</c:v>
                  </c:pt>
                  <c:pt idx="46">
                    <c:v>0.11577721863436172</c:v>
                  </c:pt>
                  <c:pt idx="47">
                    <c:v>0.11555457643671617</c:v>
                  </c:pt>
                  <c:pt idx="48">
                    <c:v>0.1153294822094181</c:v>
                  </c:pt>
                  <c:pt idx="49">
                    <c:v>0.11510192116212857</c:v>
                  </c:pt>
                  <c:pt idx="50">
                    <c:v>0.11487187884203481</c:v>
                  </c:pt>
                  <c:pt idx="51">
                    <c:v>0.11463934115462288</c:v>
                  </c:pt>
                  <c:pt idx="52">
                    <c:v>0.11440429438517942</c:v>
                  </c:pt>
                  <c:pt idx="53">
                    <c:v>0.11416672522102045</c:v>
                  </c:pt>
                  <c:pt idx="54">
                    <c:v>0.11392662077450841</c:v>
                  </c:pt>
                  <c:pt idx="55">
                    <c:v>0.11368396860681894</c:v>
                  </c:pt>
                  <c:pt idx="56">
                    <c:v>0.11343875675253055</c:v>
                  </c:pt>
                  <c:pt idx="57">
                    <c:v>0.11319097374502161</c:v>
                  </c:pt>
                  <c:pt idx="58">
                    <c:v>0.1129406086427093</c:v>
                  </c:pt>
                  <c:pt idx="59">
                    <c:v>0.11268765105613261</c:v>
                  </c:pt>
                  <c:pt idx="60">
                    <c:v>0.11243209117592914</c:v>
                  </c:pt>
                  <c:pt idx="61">
                    <c:v>0.112173919801688</c:v>
                  </c:pt>
                  <c:pt idx="62">
                    <c:v>0.11191312837172962</c:v>
                  </c:pt>
                  <c:pt idx="63">
                    <c:v>0.11164970899380053</c:v>
                  </c:pt>
                  <c:pt idx="64">
                    <c:v>0.11138365447672459</c:v>
                  </c:pt>
                  <c:pt idx="65">
                    <c:v>0.11111495836303172</c:v>
                  </c:pt>
                  <c:pt idx="66">
                    <c:v>0.11084361496254529</c:v>
                  </c:pt>
                  <c:pt idx="67">
                    <c:v>0.11056961938699936</c:v>
                  </c:pt>
                  <c:pt idx="68">
                    <c:v>0.11029296758564611</c:v>
                  </c:pt>
                  <c:pt idx="69">
                    <c:v>0.11001365638192834</c:v>
                  </c:pt>
                  <c:pt idx="70">
                    <c:v>0.1097316835111717</c:v>
                  </c:pt>
                  <c:pt idx="71">
                    <c:v>0.10944704765936079</c:v>
                  </c:pt>
                  <c:pt idx="72">
                    <c:v>0.1091597485029866</c:v>
                  </c:pt>
                  <c:pt idx="73">
                    <c:v>0.10886978674997842</c:v>
                  </c:pt>
                  <c:pt idx="74">
                    <c:v>0.10857716418175511</c:v>
                  </c:pt>
                  <c:pt idx="75">
                    <c:v>0.10828188369637468</c:v>
                  </c:pt>
                  <c:pt idx="76">
                    <c:v>0.10798394935280708</c:v>
                  </c:pt>
                  <c:pt idx="77">
                    <c:v>0.10768336641634269</c:v>
                  </c:pt>
                  <c:pt idx="78">
                    <c:v>0.1073801414051383</c:v>
                  </c:pt>
                  <c:pt idx="79">
                    <c:v>0.10707428213789164</c:v>
                  </c:pt>
                  <c:pt idx="80">
                    <c:v>0.10676579778267291</c:v>
                  </c:pt>
                  <c:pt idx="81">
                    <c:v>0.10645469890688838</c:v>
                  </c:pt>
                  <c:pt idx="82">
                    <c:v>0.10614099752838364</c:v>
                  </c:pt>
                  <c:pt idx="83">
                    <c:v>0.10582470716769836</c:v>
                  </c:pt>
                  <c:pt idx="84">
                    <c:v>0.10550584290142315</c:v>
                  </c:pt>
                  <c:pt idx="85">
                    <c:v>0.10518442141668903</c:v>
                  </c:pt>
                  <c:pt idx="86">
                    <c:v>0.10486046106676777</c:v>
                  </c:pt>
                  <c:pt idx="87">
                    <c:v>0.10453398192773368</c:v>
                  </c:pt>
                  <c:pt idx="88">
                    <c:v>0.10420500585621485</c:v>
                  </c:pt>
                  <c:pt idx="89">
                    <c:v>0.10387355654816396</c:v>
                  </c:pt>
                  <c:pt idx="90">
                    <c:v>0.10353965959865007</c:v>
                  </c:pt>
                  <c:pt idx="91">
                    <c:v>0.1032033425626184</c:v>
                  </c:pt>
                  <c:pt idx="92">
                    <c:v>0.10286463501659246</c:v>
                  </c:pt>
                  <c:pt idx="93">
                    <c:v>0.1025235686212449</c:v>
                  </c:pt>
                  <c:pt idx="94">
                    <c:v>0.10218017718484021</c:v>
                  </c:pt>
                  <c:pt idx="95">
                    <c:v>0.10183449672741934</c:v>
                  </c:pt>
                  <c:pt idx="96">
                    <c:v>0.10148656554573927</c:v>
                  </c:pt>
                  <c:pt idx="97">
                    <c:v>0.10113642427882197</c:v>
                  </c:pt>
                  <c:pt idx="98">
                    <c:v>0.10078411597409767</c:v>
                  </c:pt>
                  <c:pt idx="99">
                    <c:v>0.1004296861540096</c:v>
                  </c:pt>
                </c:numCache>
              </c:numRef>
            </c:minus>
            <c:spPr>
              <a:noFill/>
              <a:ln w="12700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'-'!$S$4:$S$103</c:f>
              <c:numCache>
                <c:formatCode>General</c:formatCode>
                <c:ptCount val="100"/>
                <c:pt idx="0">
                  <c:v>0.63602910735430951</c:v>
                </c:pt>
                <c:pt idx="1">
                  <c:v>0.63695518482498792</c:v>
                </c:pt>
                <c:pt idx="2">
                  <c:v>0.63788246938862136</c:v>
                </c:pt>
                <c:pt idx="3">
                  <c:v>0.63881090761560433</c:v>
                </c:pt>
                <c:pt idx="4">
                  <c:v>0.63974044456105972</c:v>
                </c:pt>
                <c:pt idx="5">
                  <c:v>0.64067102373281803</c:v>
                </c:pt>
                <c:pt idx="6">
                  <c:v>0.6416025870588451</c:v>
                </c:pt>
                <c:pt idx="7">
                  <c:v>0.64253507485410355</c:v>
                </c:pt>
                <c:pt idx="8">
                  <c:v>0.64346842578684871</c:v>
                </c:pt>
                <c:pt idx="9">
                  <c:v>0.64440257684435587</c:v>
                </c:pt>
                <c:pt idx="10">
                  <c:v>0.64533746329806196</c:v>
                </c:pt>
                <c:pt idx="11">
                  <c:v>0.6462730186681358</c:v>
                </c:pt>
                <c:pt idx="12">
                  <c:v>0.64720917468745276</c:v>
                </c:pt>
                <c:pt idx="13">
                  <c:v>0.64814586126498785</c:v>
                </c:pt>
                <c:pt idx="14">
                  <c:v>0.64908300644860817</c:v>
                </c:pt>
                <c:pt idx="15">
                  <c:v>0.65002053638727597</c:v>
                </c:pt>
                <c:pt idx="16">
                  <c:v>0.65095837529264</c:v>
                </c:pt>
                <c:pt idx="17">
                  <c:v>0.65189644540003377</c:v>
                </c:pt>
                <c:pt idx="18">
                  <c:v>0.65283466692886427</c:v>
                </c:pt>
                <c:pt idx="19">
                  <c:v>0.65377295804239133</c:v>
                </c:pt>
                <c:pt idx="20">
                  <c:v>0.6547112348068983</c:v>
                </c:pt>
                <c:pt idx="21">
                  <c:v>0.65564941115025444</c:v>
                </c:pt>
                <c:pt idx="22">
                  <c:v>0.65658739881985884</c:v>
                </c:pt>
                <c:pt idx="23">
                  <c:v>0.65752510733997993</c:v>
                </c:pt>
                <c:pt idx="24">
                  <c:v>0.65846244396847886</c:v>
                </c:pt>
                <c:pt idx="25">
                  <c:v>0.65939931365292148</c:v>
                </c:pt>
                <c:pt idx="26">
                  <c:v>0.66033561898608395</c:v>
                </c:pt>
                <c:pt idx="27">
                  <c:v>0.6612712601608457</c:v>
                </c:pt>
                <c:pt idx="28">
                  <c:v>0.66220613492447677</c:v>
                </c:pt>
                <c:pt idx="29">
                  <c:v>0.66314013853233256</c:v>
                </c:pt>
                <c:pt idx="30">
                  <c:v>0.66407316370093539</c:v>
                </c:pt>
                <c:pt idx="31">
                  <c:v>0.66500510056047557</c:v>
                </c:pt>
                <c:pt idx="32">
                  <c:v>0.66593583660671662</c:v>
                </c:pt>
                <c:pt idx="33">
                  <c:v>0.66686525665232221</c:v>
                </c:pt>
                <c:pt idx="34">
                  <c:v>0.66779324277760799</c:v>
                </c:pt>
                <c:pt idx="35">
                  <c:v>0.66871967428072365</c:v>
                </c:pt>
                <c:pt idx="36">
                  <c:v>0.66964442762728571</c:v>
                </c:pt>
                <c:pt idx="37">
                  <c:v>0.67056737639945341</c:v>
                </c:pt>
                <c:pt idx="38">
                  <c:v>0.6714883912444749</c:v>
                </c:pt>
                <c:pt idx="39">
                  <c:v>0.6724073398227064</c:v>
                </c:pt>
                <c:pt idx="40">
                  <c:v>0.67332408675512423</c:v>
                </c:pt>
                <c:pt idx="41">
                  <c:v>0.67423849357033239</c:v>
                </c:pt>
                <c:pt idx="42">
                  <c:v>0.67515041865110226</c:v>
                </c:pt>
                <c:pt idx="43">
                  <c:v>0.67605971718044067</c:v>
                </c:pt>
                <c:pt idx="44">
                  <c:v>0.67696624108721237</c:v>
                </c:pt>
                <c:pt idx="45">
                  <c:v>0.67786983899134412</c:v>
                </c:pt>
                <c:pt idx="46">
                  <c:v>0.6787703561486248</c:v>
                </c:pt>
                <c:pt idx="47">
                  <c:v>0.67966763439511546</c:v>
                </c:pt>
                <c:pt idx="48">
                  <c:v>0.6805615120912194</c:v>
                </c:pt>
                <c:pt idx="49">
                  <c:v>0.68145182406540983</c:v>
                </c:pt>
                <c:pt idx="50">
                  <c:v>0.68233840155766123</c:v>
                </c:pt>
                <c:pt idx="51">
                  <c:v>0.68322107216261241</c:v>
                </c:pt>
                <c:pt idx="52">
                  <c:v>0.68409965977248288</c:v>
                </c:pt>
                <c:pt idx="53">
                  <c:v>0.68497398451979019</c:v>
                </c:pt>
                <c:pt idx="54">
                  <c:v>0.68584386271988906</c:v>
                </c:pt>
                <c:pt idx="55">
                  <c:v>0.68670910681338726</c:v>
                </c:pt>
                <c:pt idx="56">
                  <c:v>0.68756952530846083</c:v>
                </c:pt>
                <c:pt idx="57">
                  <c:v>0.68842492272312428</c:v>
                </c:pt>
                <c:pt idx="58">
                  <c:v>0.689275099527487</c:v>
                </c:pt>
                <c:pt idx="59">
                  <c:v>0.69011985208606708</c:v>
                </c:pt>
                <c:pt idx="60">
                  <c:v>0.69095897260017414</c:v>
                </c:pt>
                <c:pt idx="61">
                  <c:v>0.691792249050456</c:v>
                </c:pt>
                <c:pt idx="62">
                  <c:v>0.69261946513962425</c:v>
                </c:pt>
                <c:pt idx="63">
                  <c:v>0.69344040023545117</c:v>
                </c:pt>
                <c:pt idx="64">
                  <c:v>0.69425482931406957</c:v>
                </c:pt>
                <c:pt idx="65">
                  <c:v>0.69506252290365589</c:v>
                </c:pt>
                <c:pt idx="66">
                  <c:v>0.69586324702855851</c:v>
                </c:pt>
                <c:pt idx="67">
                  <c:v>0.69665676315394109</c:v>
                </c:pt>
                <c:pt idx="68">
                  <c:v>0.69744282813100855</c:v>
                </c:pt>
                <c:pt idx="69">
                  <c:v>0.69822119414289485</c:v>
                </c:pt>
                <c:pt idx="70">
                  <c:v>0.69899160865129861</c:v>
                </c:pt>
                <c:pt idx="71">
                  <c:v>0.69975381434393458</c:v>
                </c:pt>
                <c:pt idx="72">
                  <c:v>0.70050754908289925</c:v>
                </c:pt>
                <c:pt idx="73">
                  <c:v>0.7012525458540313</c:v>
                </c:pt>
                <c:pt idx="74">
                  <c:v>0.70198853271737416</c:v>
                </c:pt>
                <c:pt idx="75">
                  <c:v>0.7027152327588142</c:v>
                </c:pt>
                <c:pt idx="76">
                  <c:v>0.70343236404302112</c:v>
                </c:pt>
                <c:pt idx="77">
                  <c:v>0.70413963956777859</c:v>
                </c:pt>
                <c:pt idx="78">
                  <c:v>0.70483676721981547</c:v>
                </c:pt>
                <c:pt idx="79">
                  <c:v>0.70552344973226211</c:v>
                </c:pt>
                <c:pt idx="80">
                  <c:v>0.70619938464383414</c:v>
                </c:pt>
                <c:pt idx="81">
                  <c:v>0.7068642642598697</c:v>
                </c:pt>
                <c:pt idx="82">
                  <c:v>0.70751777561535267</c:v>
                </c:pt>
                <c:pt idx="83">
                  <c:v>0.70815960044004345</c:v>
                </c:pt>
                <c:pt idx="84">
                  <c:v>0.70878941512584981</c:v>
                </c:pt>
                <c:pt idx="85">
                  <c:v>0.70940689069658702</c:v>
                </c:pt>
                <c:pt idx="86">
                  <c:v>0.71001169278025744</c:v>
                </c:pt>
                <c:pt idx="87">
                  <c:v>0.71060348158400433</c:v>
                </c:pt>
                <c:pt idx="88">
                  <c:v>0.71118191187189483</c:v>
                </c:pt>
                <c:pt idx="89">
                  <c:v>0.71174663294567408</c:v>
                </c:pt>
                <c:pt idx="90">
                  <c:v>0.71229728862867359</c:v>
                </c:pt>
                <c:pt idx="91">
                  <c:v>0.71283351725301303</c:v>
                </c:pt>
                <c:pt idx="92">
                  <c:v>0.71335495165029239</c:v>
                </c:pt>
                <c:pt idx="93">
                  <c:v>0.71386121914592815</c:v>
                </c:pt>
                <c:pt idx="94">
                  <c:v>0.71435194155731974</c:v>
                </c:pt>
                <c:pt idx="95">
                  <c:v>0.71482673519603401</c:v>
                </c:pt>
                <c:pt idx="96">
                  <c:v>0.71528521087418628</c:v>
                </c:pt>
                <c:pt idx="97">
                  <c:v>0.71572697391521944</c:v>
                </c:pt>
                <c:pt idx="98">
                  <c:v>0.71615162416926792</c:v>
                </c:pt>
                <c:pt idx="99">
                  <c:v>0.71655875603331465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9656536"/>
        <c:axId val="269654968"/>
      </c:lineChart>
      <c:catAx>
        <c:axId val="269656536"/>
        <c:scaling>
          <c:orientation val="minMax"/>
        </c:scaling>
        <c:delete val="0"/>
        <c:axPos val="b"/>
        <c:majorTickMark val="out"/>
        <c:minorTickMark val="in"/>
        <c:tickLblPos val="nextTo"/>
        <c:spPr>
          <a:noFill/>
          <a:ln w="31750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654968"/>
        <c:crosses val="autoZero"/>
        <c:auto val="1"/>
        <c:lblAlgn val="ctr"/>
        <c:lblOffset val="100"/>
        <c:tickLblSkip val="99"/>
        <c:tickMarkSkip val="25"/>
        <c:noMultiLvlLbl val="0"/>
      </c:catAx>
      <c:valAx>
        <c:axId val="269654968"/>
        <c:scaling>
          <c:orientation val="minMax"/>
          <c:min val="0.5"/>
        </c:scaling>
        <c:delete val="0"/>
        <c:axPos val="l"/>
        <c:majorGridlines>
          <c:spPr>
            <a:ln w="2857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in"/>
        <c:minorTickMark val="in"/>
        <c:tickLblPos val="nextTo"/>
        <c:spPr>
          <a:noFill/>
          <a:ln w="28575">
            <a:solidFill>
              <a:schemeClr val="tx1">
                <a:lumMod val="75000"/>
                <a:lumOff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65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'+'!$I$4:$I$103</c:f>
              <c:numCache>
                <c:formatCode>General</c:formatCode>
                <c:ptCount val="100"/>
                <c:pt idx="0">
                  <c:v>0.9532603710893206</c:v>
                </c:pt>
                <c:pt idx="1">
                  <c:v>0.95332311193347574</c:v>
                </c:pt>
                <c:pt idx="2">
                  <c:v>0.95337838478843884</c:v>
                </c:pt>
                <c:pt idx="3">
                  <c:v>0.95342604673032882</c:v>
                </c:pt>
                <c:pt idx="4">
                  <c:v>0.95346595254154121</c:v>
                </c:pt>
                <c:pt idx="5">
                  <c:v>0.95349795467938658</c:v>
                </c:pt>
                <c:pt idx="6">
                  <c:v>0.95352190324453978</c:v>
                </c:pt>
                <c:pt idx="7">
                  <c:v>0.95353764594928481</c:v>
                </c:pt>
                <c:pt idx="8">
                  <c:v>0.95354502808555819</c:v>
                </c:pt>
                <c:pt idx="9">
                  <c:v>0.95354389249283478</c:v>
                </c:pt>
                <c:pt idx="10">
                  <c:v>0.95353407952583469</c:v>
                </c:pt>
                <c:pt idx="11">
                  <c:v>0.95351542702207237</c:v>
                </c:pt>
                <c:pt idx="12">
                  <c:v>0.95348777026928111</c:v>
                </c:pt>
                <c:pt idx="13">
                  <c:v>0.95345094197268776</c:v>
                </c:pt>
                <c:pt idx="14">
                  <c:v>0.95340477222219056</c:v>
                </c:pt>
                <c:pt idx="15">
                  <c:v>0.95334908845942767</c:v>
                </c:pt>
                <c:pt idx="16">
                  <c:v>0.95328371544477364</c:v>
                </c:pt>
                <c:pt idx="17">
                  <c:v>0.95320847522425745</c:v>
                </c:pt>
                <c:pt idx="18">
                  <c:v>0.9531231870964425</c:v>
                </c:pt>
                <c:pt idx="19">
                  <c:v>0.95302766757928048</c:v>
                </c:pt>
                <c:pt idx="20">
                  <c:v>0.95292173037693473</c:v>
                </c:pt>
                <c:pt idx="21">
                  <c:v>0.95280518634664613</c:v>
                </c:pt>
                <c:pt idx="22">
                  <c:v>0.95267784346561202</c:v>
                </c:pt>
                <c:pt idx="23">
                  <c:v>0.95253950679791499</c:v>
                </c:pt>
                <c:pt idx="24">
                  <c:v>0.95238997846156392</c:v>
                </c:pt>
                <c:pt idx="25">
                  <c:v>0.95222905759560328</c:v>
                </c:pt>
                <c:pt idx="26">
                  <c:v>0.95205654032737985</c:v>
                </c:pt>
                <c:pt idx="27">
                  <c:v>0.95187221973996461</c:v>
                </c:pt>
                <c:pt idx="28">
                  <c:v>0.95167588583975105</c:v>
                </c:pt>
                <c:pt idx="29">
                  <c:v>0.95146732552428948</c:v>
                </c:pt>
                <c:pt idx="30">
                  <c:v>0.95124632255036723</c:v>
                </c:pt>
                <c:pt idx="31">
                  <c:v>0.95101265750236696</c:v>
                </c:pt>
                <c:pt idx="32">
                  <c:v>0.95076610776095716</c:v>
                </c:pt>
                <c:pt idx="33">
                  <c:v>0.95050644747213064</c:v>
                </c:pt>
                <c:pt idx="34">
                  <c:v>0.95023344751662397</c:v>
                </c:pt>
                <c:pt idx="35">
                  <c:v>0.94994687547980328</c:v>
                </c:pt>
                <c:pt idx="36">
                  <c:v>0.94964649562198789</c:v>
                </c:pt>
                <c:pt idx="37">
                  <c:v>0.94933206884931687</c:v>
                </c:pt>
                <c:pt idx="38">
                  <c:v>0.949003352685162</c:v>
                </c:pt>
                <c:pt idx="39">
                  <c:v>0.94866010124215039</c:v>
                </c:pt>
                <c:pt idx="40">
                  <c:v>0.94830206519486127</c:v>
                </c:pt>
                <c:pt idx="41">
                  <c:v>0.94792899175319634</c:v>
                </c:pt>
                <c:pt idx="42">
                  <c:v>0.94754062463654098</c:v>
                </c:pt>
                <c:pt idx="43">
                  <c:v>0.94713670404871964</c:v>
                </c:pt>
                <c:pt idx="44">
                  <c:v>0.94671696665382743</c:v>
                </c:pt>
                <c:pt idx="45">
                  <c:v>0.94628114555298193</c:v>
                </c:pt>
                <c:pt idx="46">
                  <c:v>0.94582897026208534</c:v>
                </c:pt>
                <c:pt idx="47">
                  <c:v>0.9453601666906013</c:v>
                </c:pt>
                <c:pt idx="48">
                  <c:v>0.94487445712148399</c:v>
                </c:pt>
                <c:pt idx="49">
                  <c:v>0.94437156019226687</c:v>
                </c:pt>
                <c:pt idx="50">
                  <c:v>0.94385119087742209</c:v>
                </c:pt>
                <c:pt idx="51">
                  <c:v>0.94331306047202834</c:v>
                </c:pt>
                <c:pt idx="52">
                  <c:v>0.94275687657686502</c:v>
                </c:pt>
                <c:pt idx="53">
                  <c:v>0.94218234308495152</c:v>
                </c:pt>
                <c:pt idx="54">
                  <c:v>0.94158916016967698</c:v>
                </c:pt>
                <c:pt idx="55">
                  <c:v>0.94097702427455054</c:v>
                </c:pt>
                <c:pt idx="56">
                  <c:v>0.94034562810469258</c:v>
                </c:pt>
                <c:pt idx="57">
                  <c:v>0.93969466062012141</c:v>
                </c:pt>
                <c:pt idx="58">
                  <c:v>0.93902380703096566</c:v>
                </c:pt>
                <c:pt idx="59">
                  <c:v>0.93833274879466988</c:v>
                </c:pt>
                <c:pt idx="60">
                  <c:v>0.9376211636152858</c:v>
                </c:pt>
                <c:pt idx="61">
                  <c:v>0.93688872544497581</c:v>
                </c:pt>
                <c:pt idx="62">
                  <c:v>0.93613510448779635</c:v>
                </c:pt>
                <c:pt idx="63">
                  <c:v>0.9353599672058982</c:v>
                </c:pt>
                <c:pt idx="64">
                  <c:v>0.93456297632824126</c:v>
                </c:pt>
                <c:pt idx="65">
                  <c:v>0.93374379086190984</c:v>
                </c:pt>
                <c:pt idx="66">
                  <c:v>0.93290206610619275</c:v>
                </c:pt>
                <c:pt idx="67">
                  <c:v>0.93203745366950674</c:v>
                </c:pt>
                <c:pt idx="68">
                  <c:v>0.9311496014892906</c:v>
                </c:pt>
                <c:pt idx="69">
                  <c:v>0.93023815385500519</c:v>
                </c:pt>
                <c:pt idx="70">
                  <c:v>0.92930275143437002</c:v>
                </c:pt>
                <c:pt idx="71">
                  <c:v>0.92834303130292761</c:v>
                </c:pt>
                <c:pt idx="72">
                  <c:v>0.92735862697712867</c:v>
                </c:pt>
                <c:pt idx="73">
                  <c:v>0.92634916845102844</c:v>
                </c:pt>
                <c:pt idx="74">
                  <c:v>0.92531428223674528</c:v>
                </c:pt>
                <c:pt idx="75">
                  <c:v>0.92425359140883412</c:v>
                </c:pt>
                <c:pt idx="76">
                  <c:v>0.92316671565270159</c:v>
                </c:pt>
                <c:pt idx="77">
                  <c:v>0.92205327131723225</c:v>
                </c:pt>
                <c:pt idx="78">
                  <c:v>0.92091287147176248</c:v>
                </c:pt>
                <c:pt idx="79">
                  <c:v>0.91974512596755686</c:v>
                </c:pt>
                <c:pt idx="80">
                  <c:v>0.91854964150394347</c:v>
                </c:pt>
                <c:pt idx="81">
                  <c:v>0.91732602169927469</c:v>
                </c:pt>
                <c:pt idx="82">
                  <c:v>0.91607386716687467</c:v>
                </c:pt>
                <c:pt idx="83">
                  <c:v>0.91479277559611816</c:v>
                </c:pt>
                <c:pt idx="84">
                  <c:v>0.91348234183883437</c:v>
                </c:pt>
                <c:pt idx="85">
                  <c:v>0.91214215800119369</c:v>
                </c:pt>
                <c:pt idx="86">
                  <c:v>0.9107718135412386</c:v>
                </c:pt>
                <c:pt idx="87">
                  <c:v>0.90937089537223359</c:v>
                </c:pt>
                <c:pt idx="88">
                  <c:v>0.90793898797204153</c:v>
                </c:pt>
                <c:pt idx="89">
                  <c:v>0.90647567349864078</c:v>
                </c:pt>
                <c:pt idx="90">
                  <c:v>0.90498053191201644</c:v>
                </c:pt>
                <c:pt idx="91">
                  <c:v>0.90345314110257702</c:v>
                </c:pt>
                <c:pt idx="92">
                  <c:v>0.90189307702626853</c:v>
                </c:pt>
                <c:pt idx="93">
                  <c:v>0.90029991384660502</c:v>
                </c:pt>
                <c:pt idx="94">
                  <c:v>0.89867322408373018</c:v>
                </c:pt>
                <c:pt idx="95">
                  <c:v>0.89701257877075746</c:v>
                </c:pt>
                <c:pt idx="96">
                  <c:v>0.89531754761752413</c:v>
                </c:pt>
                <c:pt idx="97">
                  <c:v>0.89358769918195857</c:v>
                </c:pt>
                <c:pt idx="98">
                  <c:v>0.89182260104922162</c:v>
                </c:pt>
                <c:pt idx="99">
                  <c:v>0.8900218200188128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'+'!$J$4:$J$103</c:f>
              <c:numCache>
                <c:formatCode>General</c:formatCode>
                <c:ptCount val="100"/>
                <c:pt idx="0">
                  <c:v>0.92227938524252662</c:v>
                </c:pt>
                <c:pt idx="1">
                  <c:v>0.92192135932592711</c:v>
                </c:pt>
                <c:pt idx="2">
                  <c:v>0.92155361268276814</c:v>
                </c:pt>
                <c:pt idx="3">
                  <c:v>0.92117599521850524</c:v>
                </c:pt>
                <c:pt idx="4">
                  <c:v>0.92078835473872533</c:v>
                </c:pt>
                <c:pt idx="5">
                  <c:v>0.92039053692575601</c:v>
                </c:pt>
                <c:pt idx="6">
                  <c:v>0.91998238531527055</c:v>
                </c:pt>
                <c:pt idx="7">
                  <c:v>0.91956374127294238</c:v>
                </c:pt>
                <c:pt idx="8">
                  <c:v>0.9191344439710929</c:v>
                </c:pt>
                <c:pt idx="9">
                  <c:v>0.91869433036543635</c:v>
                </c:pt>
                <c:pt idx="10">
                  <c:v>0.91824323517185613</c:v>
                </c:pt>
                <c:pt idx="11">
                  <c:v>0.91778099084327269</c:v>
                </c:pt>
                <c:pt idx="12">
                  <c:v>0.91730742754663697</c:v>
                </c:pt>
                <c:pt idx="13">
                  <c:v>0.91682237314000392</c:v>
                </c:pt>
                <c:pt idx="14">
                  <c:v>0.9163256531497791</c:v>
                </c:pt>
                <c:pt idx="15">
                  <c:v>0.91581709074810536</c:v>
                </c:pt>
                <c:pt idx="16">
                  <c:v>0.91529650673044294</c:v>
                </c:pt>
                <c:pt idx="17">
                  <c:v>0.91476371949334156</c:v>
                </c:pt>
                <c:pt idx="18">
                  <c:v>0.91421854501244659</c:v>
                </c:pt>
                <c:pt idx="19">
                  <c:v>0.91366079682075585</c:v>
                </c:pt>
                <c:pt idx="20">
                  <c:v>0.91309028598713005</c:v>
                </c:pt>
                <c:pt idx="21">
                  <c:v>0.91250682109515147</c:v>
                </c:pt>
                <c:pt idx="22">
                  <c:v>0.91191020822225266</c:v>
                </c:pt>
                <c:pt idx="23">
                  <c:v>0.9113002509192446</c:v>
                </c:pt>
                <c:pt idx="24">
                  <c:v>0.91067675019022121</c:v>
                </c:pt>
                <c:pt idx="25">
                  <c:v>0.9100395044728643</c:v>
                </c:pt>
                <c:pt idx="26">
                  <c:v>0.90938830961921824</c:v>
                </c:pt>
                <c:pt idx="27">
                  <c:v>0.90872295887693511</c:v>
                </c:pt>
                <c:pt idx="28">
                  <c:v>0.908043242871032</c:v>
                </c:pt>
                <c:pt idx="29">
                  <c:v>0.90734894958622048</c:v>
                </c:pt>
                <c:pt idx="30">
                  <c:v>0.90663986434979971</c:v>
                </c:pt>
                <c:pt idx="31">
                  <c:v>0.90591576981518818</c:v>
                </c:pt>
                <c:pt idx="32">
                  <c:v>0.90517644594613877</c:v>
                </c:pt>
                <c:pt idx="33">
                  <c:v>0.9044216700016281</c:v>
                </c:pt>
                <c:pt idx="34">
                  <c:v>0.90365121652153879</c:v>
                </c:pt>
                <c:pt idx="35">
                  <c:v>0.90286485731309529</c:v>
                </c:pt>
                <c:pt idx="36">
                  <c:v>0.90206236143818841</c:v>
                </c:pt>
                <c:pt idx="37">
                  <c:v>0.90124349520154845</c:v>
                </c:pt>
                <c:pt idx="38">
                  <c:v>0.90040802213989113</c:v>
                </c:pt>
                <c:pt idx="39">
                  <c:v>0.89955570301203247</c:v>
                </c:pt>
                <c:pt idx="40">
                  <c:v>0.89868629579005832</c:v>
                </c:pt>
                <c:pt idx="41">
                  <c:v>0.8977995556515953</c:v>
                </c:pt>
                <c:pt idx="42">
                  <c:v>0.89689523497322587</c:v>
                </c:pt>
                <c:pt idx="43">
                  <c:v>0.89597308332513637</c:v>
                </c:pt>
                <c:pt idx="44">
                  <c:v>0.89503284746701184</c:v>
                </c:pt>
                <c:pt idx="45">
                  <c:v>0.8940742713452956</c:v>
                </c:pt>
                <c:pt idx="46">
                  <c:v>0.89309709609183285</c:v>
                </c:pt>
                <c:pt idx="47">
                  <c:v>0.89210106002398926</c:v>
                </c:pt>
                <c:pt idx="48">
                  <c:v>0.89108589864629517</c:v>
                </c:pt>
                <c:pt idx="49">
                  <c:v>0.89005134465370972</c:v>
                </c:pt>
                <c:pt idx="50">
                  <c:v>0.88899712793654817</c:v>
                </c:pt>
                <c:pt idx="51">
                  <c:v>0.88792297558718025</c:v>
                </c:pt>
                <c:pt idx="52">
                  <c:v>0.88682861190853324</c:v>
                </c:pt>
                <c:pt idx="53">
                  <c:v>0.88571375842453992</c:v>
                </c:pt>
                <c:pt idx="54">
                  <c:v>0.88457813389253448</c:v>
                </c:pt>
                <c:pt idx="55">
                  <c:v>0.88342145431775931</c:v>
                </c:pt>
                <c:pt idx="56">
                  <c:v>0.88224343297001129</c:v>
                </c:pt>
                <c:pt idx="57">
                  <c:v>0.88104378040254261</c:v>
                </c:pt>
                <c:pt idx="58">
                  <c:v>0.8798222044732914</c:v>
                </c:pt>
                <c:pt idx="59">
                  <c:v>0.87857841036856466</c:v>
                </c:pt>
                <c:pt idx="60">
                  <c:v>0.87731210062921727</c:v>
                </c:pt>
                <c:pt idx="61">
                  <c:v>0.8760229751794878</c:v>
                </c:pt>
                <c:pt idx="62">
                  <c:v>0.8747107313585305</c:v>
                </c:pt>
                <c:pt idx="63">
                  <c:v>0.87337506395478937</c:v>
                </c:pt>
                <c:pt idx="64">
                  <c:v>0.87201566524329699</c:v>
                </c:pt>
                <c:pt idx="65">
                  <c:v>0.87063222502601689</c:v>
                </c:pt>
                <c:pt idx="66">
                  <c:v>0.86922443067531474</c:v>
                </c:pt>
                <c:pt idx="67">
                  <c:v>0.86779196718071883</c:v>
                </c:pt>
                <c:pt idx="68">
                  <c:v>0.8663345171990291</c:v>
                </c:pt>
                <c:pt idx="69">
                  <c:v>0.86485176110791451</c:v>
                </c:pt>
                <c:pt idx="70">
                  <c:v>0.86334337706312669</c:v>
                </c:pt>
                <c:pt idx="71">
                  <c:v>0.86180904105944889</c:v>
                </c:pt>
                <c:pt idx="72">
                  <c:v>0.86024842699547333</c:v>
                </c:pt>
                <c:pt idx="73">
                  <c:v>0.85866120674236168</c:v>
                </c:pt>
                <c:pt idx="74">
                  <c:v>0.85704705021672101</c:v>
                </c:pt>
                <c:pt idx="75">
                  <c:v>0.85540562545768861</c:v>
                </c:pt>
                <c:pt idx="76">
                  <c:v>0.85373659870839358</c:v>
                </c:pt>
                <c:pt idx="77">
                  <c:v>0.85203963450190723</c:v>
                </c:pt>
                <c:pt idx="78">
                  <c:v>0.85031439575180645</c:v>
                </c:pt>
                <c:pt idx="79">
                  <c:v>0.84856054384753132</c:v>
                </c:pt>
                <c:pt idx="80">
                  <c:v>0.84677773875460249</c:v>
                </c:pt>
                <c:pt idx="81">
                  <c:v>0.84496563911991496</c:v>
                </c:pt>
                <c:pt idx="82">
                  <c:v>0.84312390238217294</c:v>
                </c:pt>
                <c:pt idx="83">
                  <c:v>0.84125218488767395</c:v>
                </c:pt>
                <c:pt idx="84">
                  <c:v>0.83935014201151903</c:v>
                </c:pt>
                <c:pt idx="85">
                  <c:v>0.83741742828446664</c:v>
                </c:pt>
                <c:pt idx="86">
                  <c:v>0.83545369752547149</c:v>
                </c:pt>
                <c:pt idx="87">
                  <c:v>0.8334586029801575</c:v>
                </c:pt>
                <c:pt idx="88">
                  <c:v>0.83143179746529527</c:v>
                </c:pt>
                <c:pt idx="89">
                  <c:v>0.82937293351944741</c:v>
                </c:pt>
                <c:pt idx="90">
                  <c:v>0.8272816635599316</c:v>
                </c:pt>
                <c:pt idx="91">
                  <c:v>0.82515764004622694</c:v>
                </c:pt>
                <c:pt idx="92">
                  <c:v>0.82300051564998022</c:v>
                </c:pt>
                <c:pt idx="93">
                  <c:v>0.82080994343173386</c:v>
                </c:pt>
                <c:pt idx="94">
                  <c:v>0.81858557702452117</c:v>
                </c:pt>
                <c:pt idx="95">
                  <c:v>0.81632707082445455</c:v>
                </c:pt>
                <c:pt idx="96">
                  <c:v>0.81403408018846335</c:v>
                </c:pt>
                <c:pt idx="97">
                  <c:v>0.81170626163926651</c:v>
                </c:pt>
                <c:pt idx="98">
                  <c:v>0.80934327307775422</c:v>
                </c:pt>
                <c:pt idx="99">
                  <c:v>0.80694477400286546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'+'!$K$4:$K$103</c:f>
              <c:numCache>
                <c:formatCode>General</c:formatCode>
                <c:ptCount val="100"/>
                <c:pt idx="0">
                  <c:v>0.86151911346514143</c:v>
                </c:pt>
                <c:pt idx="1">
                  <c:v>0.86144180954938199</c:v>
                </c:pt>
                <c:pt idx="2">
                  <c:v>0.86135693754774323</c:v>
                </c:pt>
                <c:pt idx="3">
                  <c:v>0.86126436413737473</c:v>
                </c:pt>
                <c:pt idx="4">
                  <c:v>0.86116395395477419</c:v>
                </c:pt>
                <c:pt idx="5">
                  <c:v>0.86105556956958706</c:v>
                </c:pt>
                <c:pt idx="6">
                  <c:v>0.86093907145830384</c:v>
                </c:pt>
                <c:pt idx="7">
                  <c:v>0.86081431797783514</c:v>
                </c:pt>
                <c:pt idx="8">
                  <c:v>0.8606811653389751</c:v>
                </c:pt>
                <c:pt idx="9">
                  <c:v>0.86053946757980304</c:v>
                </c:pt>
                <c:pt idx="10">
                  <c:v>0.86038907653897567</c:v>
                </c:pt>
                <c:pt idx="11">
                  <c:v>0.86022984182897799</c:v>
                </c:pt>
                <c:pt idx="12">
                  <c:v>0.8600616108093051</c:v>
                </c:pt>
                <c:pt idx="13">
                  <c:v>0.85988422855962754</c:v>
                </c:pt>
                <c:pt idx="14">
                  <c:v>0.85969753785290137</c:v>
                </c:pt>
                <c:pt idx="15">
                  <c:v>0.8595013791285101</c:v>
                </c:pt>
                <c:pt idx="16">
                  <c:v>0.85929559046536952</c:v>
                </c:pt>
                <c:pt idx="17">
                  <c:v>0.85908000755511083</c:v>
                </c:pt>
                <c:pt idx="18">
                  <c:v>0.85885446367525631</c:v>
                </c:pt>
                <c:pt idx="19">
                  <c:v>0.85861878966250149</c:v>
                </c:pt>
                <c:pt idx="20">
                  <c:v>0.85837281388604225</c:v>
                </c:pt>
                <c:pt idx="21">
                  <c:v>0.85811636222103516</c:v>
                </c:pt>
                <c:pt idx="22">
                  <c:v>0.85784925802216705</c:v>
                </c:pt>
                <c:pt idx="23">
                  <c:v>0.85757132209737197</c:v>
                </c:pt>
                <c:pt idx="24">
                  <c:v>0.85728237268173502</c:v>
                </c:pt>
                <c:pt idx="25">
                  <c:v>0.85698222541157043</c:v>
                </c:pt>
                <c:pt idx="26">
                  <c:v>0.8566706932987479</c:v>
                </c:pt>
                <c:pt idx="27">
                  <c:v>0.85634758670523359</c:v>
                </c:pt>
                <c:pt idx="28">
                  <c:v>0.85601271331795059</c:v>
                </c:pt>
                <c:pt idx="29">
                  <c:v>0.85566587812392358</c:v>
                </c:pt>
                <c:pt idx="30">
                  <c:v>0.85530688338575167</c:v>
                </c:pt>
                <c:pt idx="31">
                  <c:v>0.85493552861748867</c:v>
                </c:pt>
                <c:pt idx="32">
                  <c:v>0.85455161056088447</c:v>
                </c:pt>
                <c:pt idx="33">
                  <c:v>0.85415492316210229</c:v>
                </c:pt>
                <c:pt idx="34">
                  <c:v>0.85374525754889119</c:v>
                </c:pt>
                <c:pt idx="35">
                  <c:v>0.85332240200827025</c:v>
                </c:pt>
                <c:pt idx="36">
                  <c:v>0.85288614196478074</c:v>
                </c:pt>
                <c:pt idx="37">
                  <c:v>0.85243625995932637</c:v>
                </c:pt>
                <c:pt idx="38">
                  <c:v>0.85197253562863196</c:v>
                </c:pt>
                <c:pt idx="39">
                  <c:v>0.8514947456854145</c:v>
                </c:pt>
                <c:pt idx="40">
                  <c:v>0.85100266389924983</c:v>
                </c:pt>
                <c:pt idx="41">
                  <c:v>0.85049606107823661</c:v>
                </c:pt>
                <c:pt idx="42">
                  <c:v>0.84997470505145745</c:v>
                </c:pt>
                <c:pt idx="43">
                  <c:v>0.84943836065235034</c:v>
                </c:pt>
                <c:pt idx="44">
                  <c:v>0.84888678970296261</c:v>
                </c:pt>
                <c:pt idx="45">
                  <c:v>0.84831975099922285</c:v>
                </c:pt>
                <c:pt idx="46">
                  <c:v>0.84773700029723276</c:v>
                </c:pt>
                <c:pt idx="47">
                  <c:v>0.8471382903006609</c:v>
                </c:pt>
                <c:pt idx="48">
                  <c:v>0.84652337064929306</c:v>
                </c:pt>
                <c:pt idx="49">
                  <c:v>0.84589198790880582</c:v>
                </c:pt>
                <c:pt idx="50">
                  <c:v>0.84524388556181818</c:v>
                </c:pt>
                <c:pt idx="51">
                  <c:v>0.84457880400030894</c:v>
                </c:pt>
                <c:pt idx="52">
                  <c:v>0.8438964805194421</c:v>
                </c:pt>
                <c:pt idx="53">
                  <c:v>0.84319664931289795</c:v>
                </c:pt>
                <c:pt idx="54">
                  <c:v>0.84247904146975416</c:v>
                </c:pt>
                <c:pt idx="55">
                  <c:v>0.84174338497303314</c:v>
                </c:pt>
                <c:pt idx="56">
                  <c:v>0.84098940469995687</c:v>
                </c:pt>
                <c:pt idx="57">
                  <c:v>0.84021682242399853</c:v>
                </c:pt>
                <c:pt idx="58">
                  <c:v>0.83942535681883124</c:v>
                </c:pt>
                <c:pt idx="59">
                  <c:v>0.83861472346425237</c:v>
                </c:pt>
                <c:pt idx="60">
                  <c:v>0.83778463485414556</c:v>
                </c:pt>
                <c:pt idx="61">
                  <c:v>0.83693480040661805</c:v>
                </c:pt>
                <c:pt idx="62">
                  <c:v>0.83606492647636177</c:v>
                </c:pt>
                <c:pt idx="63">
                  <c:v>0.83517471636936813</c:v>
                </c:pt>
                <c:pt idx="64">
                  <c:v>0.83426387036006266</c:v>
                </c:pt>
                <c:pt idx="65">
                  <c:v>0.83333208571099426</c:v>
                </c:pt>
                <c:pt idx="66">
                  <c:v>0.83237905669515555</c:v>
                </c:pt>
                <c:pt idx="67">
                  <c:v>0.83140447462105316</c:v>
                </c:pt>
                <c:pt idx="68">
                  <c:v>0.83040802786063395</c:v>
                </c:pt>
                <c:pt idx="69">
                  <c:v>0.8293894018801673</c:v>
                </c:pt>
                <c:pt idx="70">
                  <c:v>0.82834827927422805</c:v>
                </c:pt>
                <c:pt idx="71">
                  <c:v>0.82728433980285565</c:v>
                </c:pt>
                <c:pt idx="72">
                  <c:v>0.82619726043203856</c:v>
                </c:pt>
                <c:pt idx="73">
                  <c:v>0.82508671537763001</c:v>
                </c:pt>
                <c:pt idx="74">
                  <c:v>0.82395237615281991</c:v>
                </c:pt>
                <c:pt idx="75">
                  <c:v>0.82279391161930482</c:v>
                </c:pt>
                <c:pt idx="76">
                  <c:v>0.82161098804225563</c:v>
                </c:pt>
                <c:pt idx="77">
                  <c:v>0.82040326914924566</c:v>
                </c:pt>
                <c:pt idx="78">
                  <c:v>0.81917041619323216</c:v>
                </c:pt>
                <c:pt idx="79">
                  <c:v>0.81791208801978132</c:v>
                </c:pt>
                <c:pt idx="80">
                  <c:v>0.81662794113861914</c:v>
                </c:pt>
                <c:pt idx="81">
                  <c:v>0.81531762979967826</c:v>
                </c:pt>
                <c:pt idx="82">
                  <c:v>0.81398080607377687</c:v>
                </c:pt>
                <c:pt idx="83">
                  <c:v>0.81261711993806429</c:v>
                </c:pt>
                <c:pt idx="84">
                  <c:v>0.81122621936639872</c:v>
                </c:pt>
                <c:pt idx="85">
                  <c:v>0.80980775042476216</c:v>
                </c:pt>
                <c:pt idx="86">
                  <c:v>0.8083613573719165</c:v>
                </c:pt>
                <c:pt idx="87">
                  <c:v>0.80688668276538422</c:v>
                </c:pt>
                <c:pt idx="88">
                  <c:v>0.80538336757297102</c:v>
                </c:pt>
                <c:pt idx="89">
                  <c:v>0.80385105128992873</c:v>
                </c:pt>
                <c:pt idx="90">
                  <c:v>0.80228937206193052</c:v>
                </c:pt>
                <c:pt idx="91">
                  <c:v>0.80069796681400229</c:v>
                </c:pt>
                <c:pt idx="92">
                  <c:v>0.79907647138558524</c:v>
                </c:pt>
                <c:pt idx="93">
                  <c:v>0.797424520671837</c:v>
                </c:pt>
                <c:pt idx="94">
                  <c:v>0.79574174877137172</c:v>
                </c:pt>
                <c:pt idx="95">
                  <c:v>0.79402778914054006</c:v>
                </c:pt>
                <c:pt idx="96">
                  <c:v>0.79228227475445479</c:v>
                </c:pt>
                <c:pt idx="97">
                  <c:v>0.79050483827484674</c:v>
                </c:pt>
                <c:pt idx="98">
                  <c:v>0.78869511222494548</c:v>
                </c:pt>
                <c:pt idx="99">
                  <c:v>0.7868527291715216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'+'!$L$4:$L$103</c:f>
              <c:numCache>
                <c:formatCode>General</c:formatCode>
                <c:ptCount val="100"/>
                <c:pt idx="0">
                  <c:v>0.86835077784030634</c:v>
                </c:pt>
                <c:pt idx="1">
                  <c:v>0.86788263512256236</c:v>
                </c:pt>
                <c:pt idx="2">
                  <c:v>0.86740459908644685</c:v>
                </c:pt>
                <c:pt idx="3">
                  <c:v>0.86691652545435438</c:v>
                </c:pt>
                <c:pt idx="4">
                  <c:v>0.86641826802053934</c:v>
                </c:pt>
                <c:pt idx="5">
                  <c:v>0.86590967863143875</c:v>
                </c:pt>
                <c:pt idx="6">
                  <c:v>0.86539060716604055</c:v>
                </c:pt>
                <c:pt idx="7">
                  <c:v>0.86486090151634087</c:v>
                </c:pt>
                <c:pt idx="8">
                  <c:v>0.86432040756791872</c:v>
                </c:pt>
                <c:pt idx="9">
                  <c:v>0.86376896918061308</c:v>
                </c:pt>
                <c:pt idx="10">
                  <c:v>0.86320642816934345</c:v>
                </c:pt>
                <c:pt idx="11">
                  <c:v>0.86263262428507526</c:v>
                </c:pt>
                <c:pt idx="12">
                  <c:v>0.86204739519596429</c:v>
                </c:pt>
                <c:pt idx="13">
                  <c:v>0.86145057646869549</c:v>
                </c:pt>
                <c:pt idx="14">
                  <c:v>0.86084200155000734</c:v>
                </c:pt>
                <c:pt idx="15">
                  <c:v>0.86022150174848222</c:v>
                </c:pt>
                <c:pt idx="16">
                  <c:v>0.85958890621655526</c:v>
                </c:pt>
                <c:pt idx="17">
                  <c:v>0.85894404193281593</c:v>
                </c:pt>
                <c:pt idx="18">
                  <c:v>0.85828673368461283</c:v>
                </c:pt>
                <c:pt idx="19">
                  <c:v>0.85761680405095797</c:v>
                </c:pt>
                <c:pt idx="20">
                  <c:v>0.85693407338580541</c:v>
                </c:pt>
                <c:pt idx="21">
                  <c:v>0.85623835980167962</c:v>
                </c:pt>
                <c:pt idx="22">
                  <c:v>0.85552947915373145</c:v>
                </c:pt>
                <c:pt idx="23">
                  <c:v>0.85480724502418848</c:v>
                </c:pt>
                <c:pt idx="24">
                  <c:v>0.85407146870730744</c:v>
                </c:pt>
                <c:pt idx="25">
                  <c:v>0.85332195919477671</c:v>
                </c:pt>
                <c:pt idx="26">
                  <c:v>0.85255852316167435</c:v>
                </c:pt>
                <c:pt idx="27">
                  <c:v>0.85178096495295186</c:v>
                </c:pt>
                <c:pt idx="28">
                  <c:v>0.85098908657052141</c:v>
                </c:pt>
                <c:pt idx="29">
                  <c:v>0.85018268766098148</c:v>
                </c:pt>
                <c:pt idx="30">
                  <c:v>0.84936156550396813</c:v>
                </c:pt>
                <c:pt idx="31">
                  <c:v>0.84852551500124473</c:v>
                </c:pt>
                <c:pt idx="32">
                  <c:v>0.84767432866649728</c:v>
                </c:pt>
                <c:pt idx="33">
                  <c:v>0.84680779661594385</c:v>
                </c:pt>
                <c:pt idx="34">
                  <c:v>0.84592570655972732</c:v>
                </c:pt>
                <c:pt idx="35">
                  <c:v>0.84502784379420703</c:v>
                </c:pt>
                <c:pt idx="36">
                  <c:v>0.84411399119514263</c:v>
                </c:pt>
                <c:pt idx="37">
                  <c:v>0.84318392921184981</c:v>
                </c:pt>
                <c:pt idx="38">
                  <c:v>0.84223743586234345</c:v>
                </c:pt>
                <c:pt idx="39">
                  <c:v>0.84127428672955806</c:v>
                </c:pt>
                <c:pt idx="40">
                  <c:v>0.84029425495865628</c:v>
                </c:pt>
                <c:pt idx="41">
                  <c:v>0.83929711125551332</c:v>
                </c:pt>
                <c:pt idx="42">
                  <c:v>0.83828262388641184</c:v>
                </c:pt>
                <c:pt idx="43">
                  <c:v>0.83725055867900544</c:v>
                </c:pt>
                <c:pt idx="44">
                  <c:v>0.83620067902462036</c:v>
                </c:pt>
                <c:pt idx="45">
                  <c:v>0.83513274588193442</c:v>
                </c:pt>
                <c:pt idx="46">
                  <c:v>0.83404651778212979</c:v>
                </c:pt>
                <c:pt idx="47">
                  <c:v>0.83294175083554145</c:v>
                </c:pt>
                <c:pt idx="48">
                  <c:v>0.83181819873989937</c:v>
                </c:pt>
                <c:pt idx="49">
                  <c:v>0.83067561279021995</c:v>
                </c:pt>
                <c:pt idx="50">
                  <c:v>0.82951374189041116</c:v>
                </c:pt>
                <c:pt idx="51">
                  <c:v>0.8283323325666736</c:v>
                </c:pt>
                <c:pt idx="52">
                  <c:v>0.82713112898275654</c:v>
                </c:pt>
                <c:pt idx="53">
                  <c:v>0.82590987295717544</c:v>
                </c:pt>
                <c:pt idx="54">
                  <c:v>0.82466830398241486</c:v>
                </c:pt>
                <c:pt idx="55">
                  <c:v>0.8234061592462506</c:v>
                </c:pt>
                <c:pt idx="56">
                  <c:v>0.82212317365523924</c:v>
                </c:pt>
                <c:pt idx="57">
                  <c:v>0.82081907986047786</c:v>
                </c:pt>
                <c:pt idx="58">
                  <c:v>0.81949360828569584</c:v>
                </c:pt>
                <c:pt idx="59">
                  <c:v>0.81814648715779681</c:v>
                </c:pt>
                <c:pt idx="60">
                  <c:v>0.81677744253990381</c:v>
                </c:pt>
                <c:pt idx="61">
                  <c:v>0.81538619836704795</c:v>
                </c:pt>
                <c:pt idx="62">
                  <c:v>0.81397247648454163</c:v>
                </c:pt>
                <c:pt idx="63">
                  <c:v>0.81253599668915921</c:v>
                </c:pt>
                <c:pt idx="64">
                  <c:v>0.81107647677324901</c:v>
                </c:pt>
                <c:pt idx="65">
                  <c:v>0.80959363257180084</c:v>
                </c:pt>
                <c:pt idx="66">
                  <c:v>0.80808717801265728</c:v>
                </c:pt>
                <c:pt idx="67">
                  <c:v>0.80655682516991389</c:v>
                </c:pt>
                <c:pt idx="68">
                  <c:v>0.80500228432064291</c:v>
                </c:pt>
                <c:pt idx="69">
                  <c:v>0.80342326400502906</c:v>
                </c:pt>
                <c:pt idx="70">
                  <c:v>0.80181947109004104</c:v>
                </c:pt>
                <c:pt idx="71">
                  <c:v>0.80019061083675413</c:v>
                </c:pt>
                <c:pt idx="72">
                  <c:v>0.79853638697140572</c:v>
                </c:pt>
                <c:pt idx="73">
                  <c:v>0.79685650176033929</c:v>
                </c:pt>
                <c:pt idx="74">
                  <c:v>0.79515065608893998</c:v>
                </c:pt>
                <c:pt idx="75">
                  <c:v>0.79341854954464219</c:v>
                </c:pt>
                <c:pt idx="76">
                  <c:v>0.79165988050419744</c:v>
                </c:pt>
                <c:pt idx="77">
                  <c:v>0.78987434622525621</c:v>
                </c:pt>
                <c:pt idx="78">
                  <c:v>0.78806164294243475</c:v>
                </c:pt>
                <c:pt idx="79">
                  <c:v>0.78622146596795406</c:v>
                </c:pt>
                <c:pt idx="80">
                  <c:v>0.7843535097970038</c:v>
                </c:pt>
                <c:pt idx="81">
                  <c:v>0.78245746821791862</c:v>
                </c:pt>
                <c:pt idx="82">
                  <c:v>0.78053303442734534</c:v>
                </c:pt>
                <c:pt idx="83">
                  <c:v>0.77857990115046871</c:v>
                </c:pt>
                <c:pt idx="84">
                  <c:v>0.77659776076646791</c:v>
                </c:pt>
                <c:pt idx="85">
                  <c:v>0.77458630543929141</c:v>
                </c:pt>
                <c:pt idx="86">
                  <c:v>0.77254522725391472</c:v>
                </c:pt>
                <c:pt idx="87">
                  <c:v>0.77047421835817009</c:v>
                </c:pt>
                <c:pt idx="88">
                  <c:v>0.76837297111029723</c:v>
                </c:pt>
                <c:pt idx="89">
                  <c:v>0.76624117823233373</c:v>
                </c:pt>
                <c:pt idx="90">
                  <c:v>0.76407853296946038</c:v>
                </c:pt>
                <c:pt idx="91">
                  <c:v>0.76188472925542394</c:v>
                </c:pt>
                <c:pt idx="92">
                  <c:v>0.75965946188417866</c:v>
                </c:pt>
                <c:pt idx="93">
                  <c:v>0.75740242668782876</c:v>
                </c:pt>
                <c:pt idx="94">
                  <c:v>0.75511332072102566</c:v>
                </c:pt>
                <c:pt idx="95">
                  <c:v>0.75279184245188757</c:v>
                </c:pt>
                <c:pt idx="96">
                  <c:v>0.75043769195961441</c:v>
                </c:pt>
                <c:pt idx="97">
                  <c:v>0.74805057113883278</c:v>
                </c:pt>
                <c:pt idx="98">
                  <c:v>0.74563018391083624</c:v>
                </c:pt>
                <c:pt idx="99">
                  <c:v>0.74317623644177988</c:v>
                </c:pt>
              </c:numCache>
            </c:numRef>
          </c:val>
          <c:smooth val="0"/>
        </c:ser>
        <c:ser>
          <c:idx val="4"/>
          <c:order val="4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'+'!$M$4:$M$103</c:f>
              <c:numCache>
                <c:formatCode>General</c:formatCode>
                <c:ptCount val="100"/>
                <c:pt idx="0">
                  <c:v>0.7078129217700847</c:v>
                </c:pt>
                <c:pt idx="1">
                  <c:v>0.70762865613595549</c:v>
                </c:pt>
                <c:pt idx="2">
                  <c:v>0.70743745470314667</c:v>
                </c:pt>
                <c:pt idx="3">
                  <c:v>0.70723920455899836</c:v>
                </c:pt>
                <c:pt idx="4">
                  <c:v>0.70703379114917564</c:v>
                </c:pt>
                <c:pt idx="5">
                  <c:v>0.70682109825815009</c:v>
                </c:pt>
                <c:pt idx="6">
                  <c:v>0.70660100798965964</c:v>
                </c:pt>
                <c:pt idx="7">
                  <c:v>0.70637340074712207</c:v>
                </c:pt>
                <c:pt idx="8">
                  <c:v>0.70613815521402334</c:v>
                </c:pt>
                <c:pt idx="9">
                  <c:v>0.70589514833433653</c:v>
                </c:pt>
                <c:pt idx="10">
                  <c:v>0.70564425529288066</c:v>
                </c:pt>
                <c:pt idx="11">
                  <c:v>0.7053853494957516</c:v>
                </c:pt>
                <c:pt idx="12">
                  <c:v>0.70511830255074004</c:v>
                </c:pt>
                <c:pt idx="13">
                  <c:v>0.70484298424780112</c:v>
                </c:pt>
                <c:pt idx="14">
                  <c:v>0.70455926253958934</c:v>
                </c:pt>
                <c:pt idx="15">
                  <c:v>0.70426700352204241</c:v>
                </c:pt>
                <c:pt idx="16">
                  <c:v>0.70396607141505374</c:v>
                </c:pt>
                <c:pt idx="17">
                  <c:v>0.70365632854324112</c:v>
                </c:pt>
                <c:pt idx="18">
                  <c:v>0.7033376353168469</c:v>
                </c:pt>
                <c:pt idx="19">
                  <c:v>0.7030098502127361</c:v>
                </c:pt>
                <c:pt idx="20">
                  <c:v>0.7026728297555801</c:v>
                </c:pt>
                <c:pt idx="21">
                  <c:v>0.70232642849918325</c:v>
                </c:pt>
                <c:pt idx="22">
                  <c:v>0.70197049900801134</c:v>
                </c:pt>
                <c:pt idx="23">
                  <c:v>0.70160489183891905</c:v>
                </c:pt>
                <c:pt idx="24">
                  <c:v>0.70122945552312821</c:v>
                </c:pt>
                <c:pt idx="25">
                  <c:v>0.70084403654841931</c:v>
                </c:pt>
                <c:pt idx="26">
                  <c:v>0.70044847934163634</c:v>
                </c:pt>
                <c:pt idx="27">
                  <c:v>0.70004262625148306</c:v>
                </c:pt>
                <c:pt idx="28">
                  <c:v>0.69962631753161342</c:v>
                </c:pt>
                <c:pt idx="29">
                  <c:v>0.69919939132412667</c:v>
                </c:pt>
                <c:pt idx="30">
                  <c:v>0.69876168364338942</c:v>
                </c:pt>
                <c:pt idx="31">
                  <c:v>0.69831302836028941</c:v>
                </c:pt>
                <c:pt idx="32">
                  <c:v>0.69785325718692692</c:v>
                </c:pt>
                <c:pt idx="33">
                  <c:v>0.69738219966176007</c:v>
                </c:pt>
                <c:pt idx="34">
                  <c:v>0.69689968313525785</c:v>
                </c:pt>
                <c:pt idx="35">
                  <c:v>0.69640553275607486</c:v>
                </c:pt>
                <c:pt idx="36">
                  <c:v>0.69589957145780168</c:v>
                </c:pt>
                <c:pt idx="37">
                  <c:v>0.69538161994630421</c:v>
                </c:pt>
                <c:pt idx="38">
                  <c:v>0.6948514966877124</c:v>
                </c:pt>
                <c:pt idx="39">
                  <c:v>0.69430901789707145</c:v>
                </c:pt>
                <c:pt idx="40">
                  <c:v>0.69375399752771438</c:v>
                </c:pt>
                <c:pt idx="41">
                  <c:v>0.693186247261388</c:v>
                </c:pt>
                <c:pt idx="42">
                  <c:v>0.69260557649917764</c:v>
                </c:pt>
                <c:pt idx="43">
                  <c:v>0.69201179235327348</c:v>
                </c:pt>
                <c:pt idx="44">
                  <c:v>0.69140469963961759</c:v>
                </c:pt>
                <c:pt idx="45">
                  <c:v>0.69078410087148512</c:v>
                </c:pt>
                <c:pt idx="46">
                  <c:v>0.69014979625405715</c:v>
                </c:pt>
                <c:pt idx="47">
                  <c:v>0.68950158368001113</c:v>
                </c:pt>
                <c:pt idx="48">
                  <c:v>0.68883925872619389</c:v>
                </c:pt>
                <c:pt idx="49">
                  <c:v>0.68816261465144424</c:v>
                </c:pt>
                <c:pt idx="50">
                  <c:v>0.68747144239558844</c:v>
                </c:pt>
                <c:pt idx="51">
                  <c:v>0.6867655305796907</c:v>
                </c:pt>
                <c:pt idx="52">
                  <c:v>0.68604466550761367</c:v>
                </c:pt>
                <c:pt idx="53">
                  <c:v>0.68530863116892393</c:v>
                </c:pt>
                <c:pt idx="54">
                  <c:v>0.68455720924325558</c:v>
                </c:pt>
                <c:pt idx="55">
                  <c:v>0.68379017910612649</c:v>
                </c:pt>
                <c:pt idx="56">
                  <c:v>0.68300731783634105</c:v>
                </c:pt>
                <c:pt idx="57">
                  <c:v>0.68220840022500029</c:v>
                </c:pt>
                <c:pt idx="58">
                  <c:v>0.68139319878619786</c:v>
                </c:pt>
                <c:pt idx="59">
                  <c:v>0.68056148376950409</c:v>
                </c:pt>
                <c:pt idx="60">
                  <c:v>0.67971302317424387</c:v>
                </c:pt>
                <c:pt idx="61">
                  <c:v>0.67884758276573642</c:v>
                </c:pt>
                <c:pt idx="62">
                  <c:v>0.67796492609346648</c:v>
                </c:pt>
                <c:pt idx="63">
                  <c:v>0.67706481451136968</c:v>
                </c:pt>
                <c:pt idx="64">
                  <c:v>0.67614700720022847</c:v>
                </c:pt>
                <c:pt idx="65">
                  <c:v>0.67521126119231878</c:v>
                </c:pt>
                <c:pt idx="66">
                  <c:v>0.67425733139835831</c:v>
                </c:pt>
                <c:pt idx="67">
                  <c:v>0.67328497063685555</c:v>
                </c:pt>
                <c:pt idx="68">
                  <c:v>0.6722939296659497</c:v>
                </c:pt>
                <c:pt idx="69">
                  <c:v>0.67128395721782164</c:v>
                </c:pt>
                <c:pt idx="70">
                  <c:v>0.67025480003578286</c:v>
                </c:pt>
                <c:pt idx="71">
                  <c:v>0.66920620291412347</c:v>
                </c:pt>
                <c:pt idx="72">
                  <c:v>0.66813790874081491</c:v>
                </c:pt>
                <c:pt idx="73">
                  <c:v>0.66704965854317844</c:v>
                </c:pt>
                <c:pt idx="74">
                  <c:v>0.66594119153659737</c:v>
                </c:pt>
                <c:pt idx="75">
                  <c:v>0.66481224517640636</c:v>
                </c:pt>
                <c:pt idx="76">
                  <c:v>0.66366255521301265</c:v>
                </c:pt>
                <c:pt idx="77">
                  <c:v>0.66249185575040326</c:v>
                </c:pt>
                <c:pt idx="78">
                  <c:v>0.6612998793081134</c:v>
                </c:pt>
                <c:pt idx="79">
                  <c:v>0.66008635688676831</c:v>
                </c:pt>
                <c:pt idx="80">
                  <c:v>0.6588510180373095</c:v>
                </c:pt>
                <c:pt idx="81">
                  <c:v>0.65759359093403269</c:v>
                </c:pt>
                <c:pt idx="82">
                  <c:v>0.65631380245149784</c:v>
                </c:pt>
                <c:pt idx="83">
                  <c:v>0.65501137824549571</c:v>
                </c:pt>
                <c:pt idx="84">
                  <c:v>0.65368604283810683</c:v>
                </c:pt>
                <c:pt idx="85">
                  <c:v>0.65233751970704001</c:v>
                </c:pt>
                <c:pt idx="86">
                  <c:v>0.65096553137930124</c:v>
                </c:pt>
                <c:pt idx="87">
                  <c:v>0.64956979952935379</c:v>
                </c:pt>
                <c:pt idx="88">
                  <c:v>0.64815004508185614</c:v>
                </c:pt>
                <c:pt idx="89">
                  <c:v>0.64670598831910797</c:v>
                </c:pt>
                <c:pt idx="90">
                  <c:v>0.64523734899332419</c:v>
                </c:pt>
                <c:pt idx="91">
                  <c:v>0.6437438464438181</c:v>
                </c:pt>
                <c:pt idx="92">
                  <c:v>0.6422251997192675</c:v>
                </c:pt>
                <c:pt idx="93">
                  <c:v>0.64068112770512309</c:v>
                </c:pt>
                <c:pt idx="94">
                  <c:v>0.63911134925629176</c:v>
                </c:pt>
                <c:pt idx="95">
                  <c:v>0.63751558333521163</c:v>
                </c:pt>
                <c:pt idx="96">
                  <c:v>0.63589354915544793</c:v>
                </c:pt>
                <c:pt idx="97">
                  <c:v>0.63424496633085337</c:v>
                </c:pt>
                <c:pt idx="98">
                  <c:v>0.63256955503048162</c:v>
                </c:pt>
                <c:pt idx="99">
                  <c:v>0.63086703613930228</c:v>
                </c:pt>
              </c:numCache>
            </c:numRef>
          </c:val>
          <c:smooth val="0"/>
        </c:ser>
        <c:ser>
          <c:idx val="5"/>
          <c:order val="5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'+'!$N$4:$N$103</c:f>
              <c:numCache>
                <c:formatCode>General</c:formatCode>
                <c:ptCount val="100"/>
                <c:pt idx="0">
                  <c:v>0.91238320906604742</c:v>
                </c:pt>
                <c:pt idx="1">
                  <c:v>0.91268122579805366</c:v>
                </c:pt>
                <c:pt idx="2">
                  <c:v>0.91297359879847217</c:v>
                </c:pt>
                <c:pt idx="3">
                  <c:v>0.91326019957096594</c:v>
                </c:pt>
                <c:pt idx="4">
                  <c:v>0.91354089738094391</c:v>
                </c:pt>
                <c:pt idx="5">
                  <c:v>0.91381555922192148</c:v>
                </c:pt>
                <c:pt idx="6">
                  <c:v>0.91408404978160251</c:v>
                </c:pt>
                <c:pt idx="7">
                  <c:v>0.91434623140763127</c:v>
                </c:pt>
                <c:pt idx="8">
                  <c:v>0.91460196407303929</c:v>
                </c:pt>
                <c:pt idx="9">
                  <c:v>0.91485110534141567</c:v>
                </c:pt>
                <c:pt idx="10">
                  <c:v>0.91509351033176489</c:v>
                </c:pt>
                <c:pt idx="11">
                  <c:v>0.91532903168311264</c:v>
                </c:pt>
                <c:pt idx="12">
                  <c:v>0.91555751951881714</c:v>
                </c:pt>
                <c:pt idx="13">
                  <c:v>0.91577882141062994</c:v>
                </c:pt>
                <c:pt idx="14">
                  <c:v>0.91599278234251913</c:v>
                </c:pt>
                <c:pt idx="15">
                  <c:v>0.91619924467422931</c:v>
                </c:pt>
                <c:pt idx="16">
                  <c:v>0.91639804810463688</c:v>
                </c:pt>
                <c:pt idx="17">
                  <c:v>0.91658902963487732</c:v>
                </c:pt>
                <c:pt idx="18">
                  <c:v>0.91677202353127829</c:v>
                </c:pt>
                <c:pt idx="19">
                  <c:v>0.91694686128811165</c:v>
                </c:pt>
                <c:pt idx="20">
                  <c:v>0.91711337159015882</c:v>
                </c:pt>
                <c:pt idx="21">
                  <c:v>0.91727138027513411</c:v>
                </c:pt>
                <c:pt idx="22">
                  <c:v>0.91742071029598404</c:v>
                </c:pt>
                <c:pt idx="23">
                  <c:v>0.91756118168302792</c:v>
                </c:pt>
                <c:pt idx="24">
                  <c:v>0.91769261150604475</c:v>
                </c:pt>
                <c:pt idx="25">
                  <c:v>0.91781481383624441</c:v>
                </c:pt>
                <c:pt idx="26">
                  <c:v>0.91792759970821391</c:v>
                </c:pt>
                <c:pt idx="27">
                  <c:v>0.91803077708179948</c:v>
                </c:pt>
                <c:pt idx="28">
                  <c:v>0.91812415080398901</c:v>
                </c:pt>
                <c:pt idx="29">
                  <c:v>0.91820752257082283</c:v>
                </c:pt>
                <c:pt idx="30">
                  <c:v>0.91828069088931819</c:v>
                </c:pt>
                <c:pt idx="31">
                  <c:v>0.91834345103948667</c:v>
                </c:pt>
                <c:pt idx="32">
                  <c:v>0.91839559503643609</c:v>
                </c:pt>
                <c:pt idx="33">
                  <c:v>0.91843691159260388</c:v>
                </c:pt>
                <c:pt idx="34">
                  <c:v>0.91846718608015077</c:v>
                </c:pt>
                <c:pt idx="35">
                  <c:v>0.91848620049355234</c:v>
                </c:pt>
                <c:pt idx="36">
                  <c:v>0.91849373341241225</c:v>
                </c:pt>
                <c:pt idx="37">
                  <c:v>0.91848955996455717</c:v>
                </c:pt>
                <c:pt idx="38">
                  <c:v>0.91847345178941087</c:v>
                </c:pt>
                <c:pt idx="39">
                  <c:v>0.91844517700174733</c:v>
                </c:pt>
                <c:pt idx="40">
                  <c:v>0.918404500155798</c:v>
                </c:pt>
                <c:pt idx="41">
                  <c:v>0.91835118220981793</c:v>
                </c:pt>
                <c:pt idx="42">
                  <c:v>0.91828498049111906</c:v>
                </c:pt>
                <c:pt idx="43">
                  <c:v>0.91820564866161714</c:v>
                </c:pt>
                <c:pt idx="44">
                  <c:v>0.91811293668397165</c:v>
                </c:pt>
                <c:pt idx="45">
                  <c:v>0.91800659078835523</c:v>
                </c:pt>
                <c:pt idx="46">
                  <c:v>0.91788635343988079</c:v>
                </c:pt>
                <c:pt idx="47">
                  <c:v>0.91775196330680064</c:v>
                </c:pt>
                <c:pt idx="48">
                  <c:v>0.91760315522946989</c:v>
                </c:pt>
                <c:pt idx="49">
                  <c:v>0.91743966019018863</c:v>
                </c:pt>
                <c:pt idx="50">
                  <c:v>0.91726120528396105</c:v>
                </c:pt>
                <c:pt idx="51">
                  <c:v>0.91706751369023543</c:v>
                </c:pt>
                <c:pt idx="52">
                  <c:v>0.91685830464570639</c:v>
                </c:pt>
                <c:pt idx="53">
                  <c:v>0.91663329341823996</c:v>
                </c:pt>
                <c:pt idx="54">
                  <c:v>0.91639219128199523</c:v>
                </c:pt>
                <c:pt idx="55">
                  <c:v>0.91613470549383103</c:v>
                </c:pt>
                <c:pt idx="56">
                  <c:v>0.91586053927106015</c:v>
                </c:pt>
                <c:pt idx="57">
                  <c:v>0.91556939177064134</c:v>
                </c:pt>
                <c:pt idx="58">
                  <c:v>0.91526095806988239</c:v>
                </c:pt>
                <c:pt idx="59">
                  <c:v>0.91493492914878483</c:v>
                </c:pt>
                <c:pt idx="60">
                  <c:v>0.91459099187403825</c:v>
                </c:pt>
                <c:pt idx="61">
                  <c:v>0.91422882898485602</c:v>
                </c:pt>
                <c:pt idx="62">
                  <c:v>0.91384811908065522</c:v>
                </c:pt>
                <c:pt idx="63">
                  <c:v>0.91344853661077041</c:v>
                </c:pt>
                <c:pt idx="64">
                  <c:v>0.91302975186621038</c:v>
                </c:pt>
                <c:pt idx="65">
                  <c:v>0.91259143097365913</c:v>
                </c:pt>
                <c:pt idx="66">
                  <c:v>0.91213323589173945</c:v>
                </c:pt>
                <c:pt idx="67">
                  <c:v>0.91165482440973822</c:v>
                </c:pt>
                <c:pt idx="68">
                  <c:v>0.9111558501488255</c:v>
                </c:pt>
                <c:pt idx="69">
                  <c:v>0.91063596256596546</c:v>
                </c:pt>
                <c:pt idx="70">
                  <c:v>0.91009480696056444</c:v>
                </c:pt>
                <c:pt idx="71">
                  <c:v>0.90953202448406012</c:v>
                </c:pt>
                <c:pt idx="72">
                  <c:v>0.90894725215251737</c:v>
                </c:pt>
                <c:pt idx="73">
                  <c:v>0.90834012286238586</c:v>
                </c:pt>
                <c:pt idx="74">
                  <c:v>0.90771026540958755</c:v>
                </c:pt>
                <c:pt idx="75">
                  <c:v>0.90705730451200739</c:v>
                </c:pt>
                <c:pt idx="76">
                  <c:v>0.90638086083559</c:v>
                </c:pt>
                <c:pt idx="77">
                  <c:v>0.90568055102415523</c:v>
                </c:pt>
                <c:pt idx="78">
                  <c:v>0.90495598773310137</c:v>
                </c:pt>
                <c:pt idx="79">
                  <c:v>0.90420677966714058</c:v>
                </c:pt>
                <c:pt idx="80">
                  <c:v>0.90343253162219905</c:v>
                </c:pt>
                <c:pt idx="81">
                  <c:v>0.90263284453170867</c:v>
                </c:pt>
                <c:pt idx="82">
                  <c:v>0.90180731551736248</c:v>
                </c:pt>
                <c:pt idx="83">
                  <c:v>0.90095553794458927</c:v>
                </c:pt>
                <c:pt idx="84">
                  <c:v>0.9000771014828387</c:v>
                </c:pt>
                <c:pt idx="85">
                  <c:v>0.89917159217090137</c:v>
                </c:pt>
                <c:pt idx="86">
                  <c:v>0.89823859248742477</c:v>
                </c:pt>
                <c:pt idx="87">
                  <c:v>0.89727768142678732</c:v>
                </c:pt>
                <c:pt idx="88">
                  <c:v>0.89628843458051966</c:v>
                </c:pt>
                <c:pt idx="89">
                  <c:v>0.89527042422448244</c:v>
                </c:pt>
                <c:pt idx="90">
                  <c:v>0.89422321941192329</c:v>
                </c:pt>
                <c:pt idx="91">
                  <c:v>0.8931463860726564</c:v>
                </c:pt>
                <c:pt idx="92">
                  <c:v>0.89203948711854586</c:v>
                </c:pt>
                <c:pt idx="93">
                  <c:v>0.89090208255544423</c:v>
                </c:pt>
                <c:pt idx="94">
                  <c:v>0.88973372960182406</c:v>
                </c:pt>
                <c:pt idx="95">
                  <c:v>0.88853398281425644</c:v>
                </c:pt>
                <c:pt idx="96">
                  <c:v>0.88730239421996926</c:v>
                </c:pt>
                <c:pt idx="97">
                  <c:v>0.88603851345664864</c:v>
                </c:pt>
                <c:pt idx="98">
                  <c:v>0.88474188791968478</c:v>
                </c:pt>
                <c:pt idx="99">
                  <c:v>0.88341206291706353</c:v>
                </c:pt>
              </c:numCache>
            </c:numRef>
          </c:val>
          <c:smooth val="0"/>
        </c:ser>
        <c:ser>
          <c:idx val="6"/>
          <c:order val="6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'+'!$O$4:$O$103</c:f>
              <c:numCache>
                <c:formatCode>General</c:formatCode>
                <c:ptCount val="100"/>
                <c:pt idx="0">
                  <c:v>0.96193904645673212</c:v>
                </c:pt>
                <c:pt idx="1">
                  <c:v>0.96170511430680627</c:v>
                </c:pt>
                <c:pt idx="2">
                  <c:v>0.96146185296636666</c:v>
                </c:pt>
                <c:pt idx="3">
                  <c:v>0.96120910942123616</c:v>
                </c:pt>
                <c:pt idx="4">
                  <c:v>0.96094672842099793</c:v>
                </c:pt>
                <c:pt idx="5">
                  <c:v>0.96067455245221278</c:v>
                </c:pt>
                <c:pt idx="6">
                  <c:v>0.96039242171157002</c:v>
                </c:pt>
                <c:pt idx="7">
                  <c:v>0.96010017407897341</c:v>
                </c:pt>
                <c:pt idx="8">
                  <c:v>0.95979764509059717</c:v>
                </c:pt>
                <c:pt idx="9">
                  <c:v>0.95948466791192588</c:v>
                </c:pt>
                <c:pt idx="10">
                  <c:v>0.95916107331078293</c:v>
                </c:pt>
                <c:pt idx="11">
                  <c:v>0.95882668963037387</c:v>
                </c:pt>
                <c:pt idx="12">
                  <c:v>0.95848134276234198</c:v>
                </c:pt>
                <c:pt idx="13">
                  <c:v>0.95812485611988529</c:v>
                </c:pt>
                <c:pt idx="14">
                  <c:v>0.95775705061092198</c:v>
                </c:pt>
                <c:pt idx="15">
                  <c:v>0.95737774461135128</c:v>
                </c:pt>
                <c:pt idx="16">
                  <c:v>0.95698675393839339</c:v>
                </c:pt>
                <c:pt idx="17">
                  <c:v>0.95658389182408055</c:v>
                </c:pt>
                <c:pt idx="18">
                  <c:v>0.95616896888887148</c:v>
                </c:pt>
                <c:pt idx="19">
                  <c:v>0.95574179311543839</c:v>
                </c:pt>
                <c:pt idx="20">
                  <c:v>0.95530216982265648</c:v>
                </c:pt>
                <c:pt idx="21">
                  <c:v>0.95484990163979966</c:v>
                </c:pt>
                <c:pt idx="22">
                  <c:v>0.95438478848098174</c:v>
                </c:pt>
                <c:pt idx="23">
                  <c:v>0.95390662751987376</c:v>
                </c:pt>
                <c:pt idx="24">
                  <c:v>0.95341521316472921</c:v>
                </c:pt>
                <c:pt idx="25">
                  <c:v>0.95291033703371197</c:v>
                </c:pt>
                <c:pt idx="26">
                  <c:v>0.95239178793061952</c:v>
                </c:pt>
                <c:pt idx="27">
                  <c:v>0.95185935182098091</c:v>
                </c:pt>
                <c:pt idx="28">
                  <c:v>0.95131281180857985</c:v>
                </c:pt>
                <c:pt idx="29">
                  <c:v>0.95075194811245889</c:v>
                </c:pt>
                <c:pt idx="30">
                  <c:v>0.9501765380444066</c:v>
                </c:pt>
                <c:pt idx="31">
                  <c:v>0.94958635598699004</c:v>
                </c:pt>
                <c:pt idx="32">
                  <c:v>0.94898117337216925</c:v>
                </c:pt>
                <c:pt idx="33">
                  <c:v>0.94836075866052083</c:v>
                </c:pt>
                <c:pt idx="34">
                  <c:v>0.94772487732113242</c:v>
                </c:pt>
                <c:pt idx="35">
                  <c:v>0.94707329181220057</c:v>
                </c:pt>
                <c:pt idx="36">
                  <c:v>0.94640576156237599</c:v>
                </c:pt>
                <c:pt idx="37">
                  <c:v>0.94572204295292572</c:v>
                </c:pt>
                <c:pt idx="38">
                  <c:v>0.94502188930071962</c:v>
                </c:pt>
                <c:pt idx="39">
                  <c:v>0.94430505084214456</c:v>
                </c:pt>
                <c:pt idx="40">
                  <c:v>0.94357127471795632</c:v>
                </c:pt>
                <c:pt idx="41">
                  <c:v>0.94282030495914881</c:v>
                </c:pt>
                <c:pt idx="42">
                  <c:v>0.94205188247388438</c:v>
                </c:pt>
                <c:pt idx="43">
                  <c:v>0.94126574503556393</c:v>
                </c:pt>
                <c:pt idx="44">
                  <c:v>0.94046162727206151</c:v>
                </c:pt>
                <c:pt idx="45">
                  <c:v>0.93963926065623327</c:v>
                </c:pt>
                <c:pt idx="46">
                  <c:v>0.93879837349773287</c:v>
                </c:pt>
                <c:pt idx="47">
                  <c:v>0.93793869093620097</c:v>
                </c:pt>
                <c:pt idx="48">
                  <c:v>0.93705993493592254</c:v>
                </c:pt>
                <c:pt idx="49">
                  <c:v>0.93616182428199946</c:v>
                </c:pt>
                <c:pt idx="50">
                  <c:v>0.9352440745781343</c:v>
                </c:pt>
                <c:pt idx="51">
                  <c:v>0.93430639824606487</c:v>
                </c:pt>
                <c:pt idx="52">
                  <c:v>0.93334850452679108</c:v>
                </c:pt>
                <c:pt idx="53">
                  <c:v>0.93237009948359761</c:v>
                </c:pt>
                <c:pt idx="54">
                  <c:v>0.93137088600703077</c:v>
                </c:pt>
                <c:pt idx="55">
                  <c:v>0.93035056382185632</c:v>
                </c:pt>
                <c:pt idx="56">
                  <c:v>0.92930882949612659</c:v>
                </c:pt>
                <c:pt idx="57">
                  <c:v>0.92824537645242722</c:v>
                </c:pt>
                <c:pt idx="58">
                  <c:v>0.92715989498140516</c:v>
                </c:pt>
                <c:pt idx="59">
                  <c:v>0.92605207225766994</c:v>
                </c:pt>
                <c:pt idx="60">
                  <c:v>0.92492159235818039</c:v>
                </c:pt>
                <c:pt idx="61">
                  <c:v>0.92376813628319376</c:v>
                </c:pt>
                <c:pt idx="62">
                  <c:v>0.92259138197990109</c:v>
                </c:pt>
                <c:pt idx="63">
                  <c:v>0.92139100436886034</c:v>
                </c:pt>
                <c:pt idx="64">
                  <c:v>0.92016667537329855</c:v>
                </c:pt>
                <c:pt idx="65">
                  <c:v>0.9189180639514668</c:v>
                </c:pt>
                <c:pt idx="66">
                  <c:v>0.91764483613207459</c:v>
                </c:pt>
                <c:pt idx="67">
                  <c:v>0.91634665505299784</c:v>
                </c:pt>
                <c:pt idx="68">
                  <c:v>0.91502318100332558</c:v>
                </c:pt>
                <c:pt idx="69">
                  <c:v>0.91367407146891411</c:v>
                </c:pt>
                <c:pt idx="70">
                  <c:v>0.91229898118153296</c:v>
                </c:pt>
                <c:pt idx="71">
                  <c:v>0.91089756217174445</c:v>
                </c:pt>
                <c:pt idx="72">
                  <c:v>0.9094694638256744</c:v>
                </c:pt>
                <c:pt idx="73">
                  <c:v>0.90801433294575895</c:v>
                </c:pt>
                <c:pt idx="74">
                  <c:v>0.90653181381564019</c:v>
                </c:pt>
                <c:pt idx="75">
                  <c:v>0.9050215482693319</c:v>
                </c:pt>
                <c:pt idx="76">
                  <c:v>0.90348317576479675</c:v>
                </c:pt>
                <c:pt idx="77">
                  <c:v>0.90191633346207833</c:v>
                </c:pt>
                <c:pt idx="78">
                  <c:v>0.90032065630613323</c:v>
                </c:pt>
                <c:pt idx="79">
                  <c:v>0.89869577711451698</c:v>
                </c:pt>
                <c:pt idx="80">
                  <c:v>0.89704132667004555</c:v>
                </c:pt>
                <c:pt idx="81">
                  <c:v>0.89535693381860837</c:v>
                </c:pt>
                <c:pt idx="82">
                  <c:v>0.89364222557229145</c:v>
                </c:pt>
                <c:pt idx="83">
                  <c:v>0.89189682721792063</c:v>
                </c:pt>
                <c:pt idx="84">
                  <c:v>0.89012036243122183</c:v>
                </c:pt>
                <c:pt idx="85">
                  <c:v>0.88831245339674192</c:v>
                </c:pt>
                <c:pt idx="86">
                  <c:v>0.8864727209336779</c:v>
                </c:pt>
                <c:pt idx="87">
                  <c:v>0.88460078462777458</c:v>
                </c:pt>
                <c:pt idx="88">
                  <c:v>0.88269626296944759</c:v>
                </c:pt>
                <c:pt idx="89">
                  <c:v>0.88075877349831322</c:v>
                </c:pt>
                <c:pt idx="90">
                  <c:v>0.87878793295423219</c:v>
                </c:pt>
                <c:pt idx="91">
                  <c:v>0.87678335743508373</c:v>
                </c:pt>
                <c:pt idx="92">
                  <c:v>0.87474466256137673</c:v>
                </c:pt>
                <c:pt idx="93">
                  <c:v>0.87267146364789516</c:v>
                </c:pt>
                <c:pt idx="94">
                  <c:v>0.87056337588250055</c:v>
                </c:pt>
                <c:pt idx="95">
                  <c:v>0.86842001451226769</c:v>
                </c:pt>
                <c:pt idx="96">
                  <c:v>0.86624099503709373</c:v>
                </c:pt>
                <c:pt idx="97">
                  <c:v>0.86402593341094081</c:v>
                </c:pt>
                <c:pt idx="98">
                  <c:v>0.86177444625082711</c:v>
                </c:pt>
                <c:pt idx="99">
                  <c:v>0.85948615105378068</c:v>
                </c:pt>
              </c:numCache>
            </c:numRef>
          </c:val>
          <c:smooth val="0"/>
        </c:ser>
        <c:ser>
          <c:idx val="7"/>
          <c:order val="7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'+'!$P$4:$P$103</c:f>
              <c:numCache>
                <c:formatCode>General</c:formatCode>
                <c:ptCount val="100"/>
                <c:pt idx="0">
                  <c:v>0.96152442969074348</c:v>
                </c:pt>
                <c:pt idx="1">
                  <c:v>0.9613101646305402</c:v>
                </c:pt>
                <c:pt idx="2">
                  <c:v>0.96108668958944876</c:v>
                </c:pt>
                <c:pt idx="3">
                  <c:v>0.96085385214518149</c:v>
                </c:pt>
                <c:pt idx="4">
                  <c:v>0.96061149763420994</c:v>
                </c:pt>
                <c:pt idx="5">
                  <c:v>0.96035946912463266</c:v>
                </c:pt>
                <c:pt idx="6">
                  <c:v>0.96009760738900563</c:v>
                </c:pt>
                <c:pt idx="7">
                  <c:v>0.95982575087709654</c:v>
                </c:pt>
                <c:pt idx="8">
                  <c:v>0.95954373568858431</c:v>
                </c:pt>
                <c:pt idx="9">
                  <c:v>0.95925139554574812</c:v>
                </c:pt>
                <c:pt idx="10">
                  <c:v>0.9589485617661232</c:v>
                </c:pt>
                <c:pt idx="11">
                  <c:v>0.95863506323515746</c:v>
                </c:pt>
                <c:pt idx="12">
                  <c:v>0.95831072637889003</c:v>
                </c:pt>
                <c:pt idx="13">
                  <c:v>0.95797537513665432</c:v>
                </c:pt>
                <c:pt idx="14">
                  <c:v>0.95762883093383022</c:v>
                </c:pt>
                <c:pt idx="15">
                  <c:v>0.95727091265468178</c:v>
                </c:pt>
                <c:pt idx="16">
                  <c:v>0.95690143661526328</c:v>
                </c:pt>
                <c:pt idx="17">
                  <c:v>0.95652021653644381</c:v>
                </c:pt>
                <c:pt idx="18">
                  <c:v>0.956127063517069</c:v>
                </c:pt>
                <c:pt idx="19">
                  <c:v>0.95572178600727697</c:v>
                </c:pt>
                <c:pt idx="20">
                  <c:v>0.95530418978197551</c:v>
                </c:pt>
                <c:pt idx="21">
                  <c:v>0.95487407791456047</c:v>
                </c:pt>
                <c:pt idx="22">
                  <c:v>0.9544312507508228</c:v>
                </c:pt>
                <c:pt idx="23">
                  <c:v>0.95397550588313818</c:v>
                </c:pt>
                <c:pt idx="24">
                  <c:v>0.95350663812493608</c:v>
                </c:pt>
                <c:pt idx="25">
                  <c:v>0.95302443948548965</c:v>
                </c:pt>
                <c:pt idx="26">
                  <c:v>0.95252869914503435</c:v>
                </c:pt>
                <c:pt idx="27">
                  <c:v>0.95201920343029756</c:v>
                </c:pt>
                <c:pt idx="28">
                  <c:v>0.9514957357903957</c:v>
                </c:pt>
                <c:pt idx="29">
                  <c:v>0.95095807677322941</c:v>
                </c:pt>
                <c:pt idx="30">
                  <c:v>0.950406004002321</c:v>
                </c:pt>
                <c:pt idx="31">
                  <c:v>0.94983929215419349</c:v>
                </c:pt>
                <c:pt idx="32">
                  <c:v>0.94925771293631145</c:v>
                </c:pt>
                <c:pt idx="33">
                  <c:v>0.94866103506561472</c:v>
                </c:pt>
                <c:pt idx="34">
                  <c:v>0.94804902424770221</c:v>
                </c:pt>
                <c:pt idx="35">
                  <c:v>0.94742144315670906</c:v>
                </c:pt>
                <c:pt idx="36">
                  <c:v>0.9467780514158981</c:v>
                </c:pt>
                <c:pt idx="37">
                  <c:v>0.94611860557906691</c:v>
                </c:pt>
                <c:pt idx="38">
                  <c:v>0.94544285911274839</c:v>
                </c:pt>
                <c:pt idx="39">
                  <c:v>0.94475056237932975</c:v>
                </c:pt>
                <c:pt idx="40">
                  <c:v>0.94404146262107447</c:v>
                </c:pt>
                <c:pt idx="41">
                  <c:v>0.94331530394516283</c:v>
                </c:pt>
                <c:pt idx="42">
                  <c:v>0.94257182730975275</c:v>
                </c:pt>
                <c:pt idx="43">
                  <c:v>0.94181077051117212</c:v>
                </c:pt>
                <c:pt idx="44">
                  <c:v>0.94103186817226359</c:v>
                </c:pt>
                <c:pt idx="45">
                  <c:v>0.94023485173195176</c:v>
                </c:pt>
                <c:pt idx="46">
                  <c:v>0.93941944943612921</c:v>
                </c:pt>
                <c:pt idx="47">
                  <c:v>0.93858538632987965</c:v>
                </c:pt>
                <c:pt idx="48">
                  <c:v>0.93773238425115124</c:v>
                </c:pt>
                <c:pt idx="49">
                  <c:v>0.93686016182591458</c:v>
                </c:pt>
                <c:pt idx="50">
                  <c:v>0.93596843446491707</c:v>
                </c:pt>
                <c:pt idx="51">
                  <c:v>0.93505691436207983</c:v>
                </c:pt>
                <c:pt idx="52">
                  <c:v>0.93412531049462322</c:v>
                </c:pt>
                <c:pt idx="53">
                  <c:v>0.93317332862501567</c:v>
                </c:pt>
                <c:pt idx="54">
                  <c:v>0.93220067130481621</c:v>
                </c:pt>
                <c:pt idx="55">
                  <c:v>0.93120703788049097</c:v>
                </c:pt>
                <c:pt idx="56">
                  <c:v>0.93019212450131217</c:v>
                </c:pt>
                <c:pt idx="57">
                  <c:v>0.92915562412941544</c:v>
                </c:pt>
                <c:pt idx="58">
                  <c:v>0.9280972265521078</c:v>
                </c:pt>
                <c:pt idx="59">
                  <c:v>0.92701661839654348</c:v>
                </c:pt>
                <c:pt idx="60">
                  <c:v>0.92591348314682065</c:v>
                </c:pt>
                <c:pt idx="61">
                  <c:v>0.92478750116367126</c:v>
                </c:pt>
                <c:pt idx="62">
                  <c:v>0.92363834970677261</c:v>
                </c:pt>
                <c:pt idx="63">
                  <c:v>0.92246570295983787</c:v>
                </c:pt>
                <c:pt idx="64">
                  <c:v>0.92126923205858346</c:v>
                </c:pt>
                <c:pt idx="65">
                  <c:v>0.92004860512166953</c:v>
                </c:pt>
                <c:pt idx="66">
                  <c:v>0.91880348728474537</c:v>
                </c:pt>
                <c:pt idx="67">
                  <c:v>0.91753354073772109</c:v>
                </c:pt>
                <c:pt idx="68">
                  <c:v>0.9162384247653621</c:v>
                </c:pt>
                <c:pt idx="69">
                  <c:v>0.91491779579135502</c:v>
                </c:pt>
                <c:pt idx="70">
                  <c:v>0.91357130742595205</c:v>
                </c:pt>
                <c:pt idx="71">
                  <c:v>0.91219861051733719</c:v>
                </c:pt>
                <c:pt idx="72">
                  <c:v>0.91079935320683125</c:v>
                </c:pt>
                <c:pt idx="73">
                  <c:v>0.90937318098806963</c:v>
                </c:pt>
                <c:pt idx="74">
                  <c:v>0.90791973677031246</c:v>
                </c:pt>
                <c:pt idx="75">
                  <c:v>0.90643866094597125</c:v>
                </c:pt>
                <c:pt idx="76">
                  <c:v>0.90492959146257212</c:v>
                </c:pt>
                <c:pt idx="77">
                  <c:v>0.90339216389922017</c:v>
                </c:pt>
                <c:pt idx="78">
                  <c:v>0.90182601154773334</c:v>
                </c:pt>
                <c:pt idx="79">
                  <c:v>0.90023076549864611</c:v>
                </c:pt>
                <c:pt idx="80">
                  <c:v>0.89860605473214616</c:v>
                </c:pt>
                <c:pt idx="81">
                  <c:v>0.89695150621414632</c:v>
                </c:pt>
                <c:pt idx="82">
                  <c:v>0.8952667449976438</c:v>
                </c:pt>
                <c:pt idx="83">
                  <c:v>0.8935513943294987</c:v>
                </c:pt>
                <c:pt idx="84">
                  <c:v>0.89180507576279677</c:v>
                </c:pt>
                <c:pt idx="85">
                  <c:v>0.89002740927496915</c:v>
                </c:pt>
                <c:pt idx="86">
                  <c:v>0.88821801339179551</c:v>
                </c:pt>
                <c:pt idx="87">
                  <c:v>0.88637650531746259</c:v>
                </c:pt>
                <c:pt idx="88">
                  <c:v>0.88450250107086092</c:v>
                </c:pt>
                <c:pt idx="89">
                  <c:v>0.88259561562823607</c:v>
                </c:pt>
                <c:pt idx="90">
                  <c:v>0.88065546307237963</c:v>
                </c:pt>
                <c:pt idx="91">
                  <c:v>0.8786816567485215</c:v>
                </c:pt>
                <c:pt idx="92">
                  <c:v>0.87667380942706874</c:v>
                </c:pt>
                <c:pt idx="93">
                  <c:v>0.8746315334733562</c:v>
                </c:pt>
                <c:pt idx="94">
                  <c:v>0.87255444102457358</c:v>
                </c:pt>
                <c:pt idx="95">
                  <c:v>0.87044214417399679</c:v>
                </c:pt>
                <c:pt idx="96">
                  <c:v>0.86829425516271785</c:v>
                </c:pt>
                <c:pt idx="97">
                  <c:v>0.86611038657899786</c:v>
                </c:pt>
                <c:pt idx="98">
                  <c:v>0.86389015156538373</c:v>
                </c:pt>
                <c:pt idx="99">
                  <c:v>0.86163316403377899</c:v>
                </c:pt>
              </c:numCache>
            </c:numRef>
          </c:val>
          <c:smooth val="0"/>
        </c:ser>
        <c:ser>
          <c:idx val="8"/>
          <c:order val="8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'+'!$Q$4:$Q$103</c:f>
              <c:numCache>
                <c:formatCode>General</c:formatCode>
                <c:ptCount val="100"/>
                <c:pt idx="0">
                  <c:v>0.93328385220951771</c:v>
                </c:pt>
                <c:pt idx="1">
                  <c:v>0.93313624953549834</c:v>
                </c:pt>
                <c:pt idx="2">
                  <c:v>0.9329800653747562</c:v>
                </c:pt>
                <c:pt idx="3">
                  <c:v>0.93281515345231614</c:v>
                </c:pt>
                <c:pt idx="4">
                  <c:v>0.93264136530005148</c:v>
                </c:pt>
                <c:pt idx="5">
                  <c:v>0.93245855022937696</c:v>
                </c:pt>
                <c:pt idx="6">
                  <c:v>0.93226655530380853</c:v>
                </c:pt>
                <c:pt idx="7">
                  <c:v>0.93206522531146618</c:v>
                </c:pt>
                <c:pt idx="8">
                  <c:v>0.93185440273747422</c:v>
                </c:pt>
                <c:pt idx="9">
                  <c:v>0.93163392773631559</c:v>
                </c:pt>
                <c:pt idx="10">
                  <c:v>0.93140363810413218</c:v>
                </c:pt>
                <c:pt idx="11">
                  <c:v>0.93116336925097987</c:v>
                </c:pt>
                <c:pt idx="12">
                  <c:v>0.93091295417308029</c:v>
                </c:pt>
                <c:pt idx="13">
                  <c:v>0.93065222342505449</c:v>
                </c:pt>
                <c:pt idx="14">
                  <c:v>0.93038100509217903</c:v>
                </c:pt>
                <c:pt idx="15">
                  <c:v>0.9300991247626752</c:v>
                </c:pt>
                <c:pt idx="16">
                  <c:v>0.92980640550002214</c:v>
                </c:pt>
                <c:pt idx="17">
                  <c:v>0.92950266781537483</c:v>
                </c:pt>
                <c:pt idx="18">
                  <c:v>0.92918772964005492</c:v>
                </c:pt>
                <c:pt idx="19">
                  <c:v>0.92886140629813674</c:v>
                </c:pt>
                <c:pt idx="20">
                  <c:v>0.92852351047919579</c:v>
                </c:pt>
                <c:pt idx="21">
                  <c:v>0.92817385221118964</c:v>
                </c:pt>
                <c:pt idx="22">
                  <c:v>0.92781223883352637</c:v>
                </c:pt>
                <c:pt idx="23">
                  <c:v>0.92743847497035159</c:v>
                </c:pt>
                <c:pt idx="24">
                  <c:v>0.92705236250404521</c:v>
                </c:pt>
                <c:pt idx="25">
                  <c:v>0.92665370054900009</c:v>
                </c:pt>
                <c:pt idx="26">
                  <c:v>0.92624228542568177</c:v>
                </c:pt>
                <c:pt idx="27">
                  <c:v>0.92581791063500729</c:v>
                </c:pt>
                <c:pt idx="28">
                  <c:v>0.92538036683308245</c:v>
                </c:pt>
                <c:pt idx="29">
                  <c:v>0.92492944180631909</c:v>
                </c:pt>
                <c:pt idx="30">
                  <c:v>0.92446492044697104</c:v>
                </c:pt>
                <c:pt idx="31">
                  <c:v>0.92398658472913309</c:v>
                </c:pt>
                <c:pt idx="32">
                  <c:v>0.923494213685224</c:v>
                </c:pt>
                <c:pt idx="33">
                  <c:v>0.92298758338301401</c:v>
                </c:pt>
                <c:pt idx="34">
                  <c:v>0.92246646690320855</c:v>
                </c:pt>
                <c:pt idx="35">
                  <c:v>0.92193063431765321</c:v>
                </c:pt>
                <c:pt idx="36">
                  <c:v>0.92137985266819811</c:v>
                </c:pt>
                <c:pt idx="37">
                  <c:v>0.92081388594626634</c:v>
                </c:pt>
                <c:pt idx="38">
                  <c:v>0.9202324950731694</c:v>
                </c:pt>
                <c:pt idx="39">
                  <c:v>0.91963543788121549</c:v>
                </c:pt>
                <c:pt idx="40">
                  <c:v>0.91902246909568142</c:v>
                </c:pt>
                <c:pt idx="41">
                  <c:v>0.91839334031766795</c:v>
                </c:pt>
                <c:pt idx="42">
                  <c:v>0.91774780000792644</c:v>
                </c:pt>
                <c:pt idx="43">
                  <c:v>0.91708559347169316</c:v>
                </c:pt>
                <c:pt idx="44">
                  <c:v>0.91640646284458438</c:v>
                </c:pt>
                <c:pt idx="45">
                  <c:v>0.91571014707963638</c:v>
                </c:pt>
                <c:pt idx="46">
                  <c:v>0.91499638193552768</c:v>
                </c:pt>
                <c:pt idx="47">
                  <c:v>0.9142648999660673</c:v>
                </c:pt>
                <c:pt idx="48">
                  <c:v>0.91351543051099771</c:v>
                </c:pt>
                <c:pt idx="49">
                  <c:v>0.91274769968819947</c:v>
                </c:pt>
                <c:pt idx="50">
                  <c:v>0.91196143038734556</c:v>
                </c:pt>
                <c:pt idx="51">
                  <c:v>0.91115634226511799</c:v>
                </c:pt>
                <c:pt idx="52">
                  <c:v>0.9103321517420121</c:v>
                </c:pt>
                <c:pt idx="53">
                  <c:v>0.90948857200084787</c:v>
                </c:pt>
                <c:pt idx="54">
                  <c:v>0.90862531298704707</c:v>
                </c:pt>
                <c:pt idx="55">
                  <c:v>0.90774208141075829</c:v>
                </c:pt>
                <c:pt idx="56">
                  <c:v>0.90683858075094659</c:v>
                </c:pt>
                <c:pt idx="57">
                  <c:v>0.90591451126147626</c:v>
                </c:pt>
                <c:pt idx="58">
                  <c:v>0.90496956997933808</c:v>
                </c:pt>
                <c:pt idx="59">
                  <c:v>0.90400345073509569</c:v>
                </c:pt>
                <c:pt idx="60">
                  <c:v>0.90301584416559211</c:v>
                </c:pt>
                <c:pt idx="61">
                  <c:v>0.90200643772913225</c:v>
                </c:pt>
                <c:pt idx="62">
                  <c:v>0.90097491572310628</c:v>
                </c:pt>
                <c:pt idx="63">
                  <c:v>0.89992095930427152</c:v>
                </c:pt>
                <c:pt idx="64">
                  <c:v>0.89884424651172146</c:v>
                </c:pt>
                <c:pt idx="65">
                  <c:v>0.89774445229269761</c:v>
                </c:pt>
                <c:pt idx="66">
                  <c:v>0.89662124853133118</c:v>
                </c:pt>
                <c:pt idx="67">
                  <c:v>0.89547430408044004</c:v>
                </c:pt>
                <c:pt idx="68">
                  <c:v>0.89430328479649202</c:v>
                </c:pt>
                <c:pt idx="69">
                  <c:v>0.89310785357786304</c:v>
                </c:pt>
                <c:pt idx="70">
                  <c:v>0.89188767040649541</c:v>
                </c:pt>
                <c:pt idx="71">
                  <c:v>0.89064239239311149</c:v>
                </c:pt>
                <c:pt idx="72">
                  <c:v>0.8893716738260653</c:v>
                </c:pt>
                <c:pt idx="73">
                  <c:v>0.88807516622401117</c:v>
                </c:pt>
                <c:pt idx="74">
                  <c:v>0.88675251839249103</c:v>
                </c:pt>
                <c:pt idx="75">
                  <c:v>0.88540337648458167</c:v>
                </c:pt>
                <c:pt idx="76">
                  <c:v>0.884027384065738</c:v>
                </c:pt>
                <c:pt idx="77">
                  <c:v>0.88262418218299588</c:v>
                </c:pt>
                <c:pt idx="78">
                  <c:v>0.88119340943862656</c:v>
                </c:pt>
                <c:pt idx="79">
                  <c:v>0.87973470206844528</c:v>
                </c:pt>
                <c:pt idx="80">
                  <c:v>0.87824769402487557</c:v>
                </c:pt>
                <c:pt idx="81">
                  <c:v>0.87673201706493986</c:v>
                </c:pt>
                <c:pt idx="82">
                  <c:v>0.87518730084331842</c:v>
                </c:pt>
                <c:pt idx="83">
                  <c:v>0.87361317301064223</c:v>
                </c:pt>
                <c:pt idx="84">
                  <c:v>0.87200925931715401</c:v>
                </c:pt>
                <c:pt idx="85">
                  <c:v>0.87037518372188871</c:v>
                </c:pt>
                <c:pt idx="86">
                  <c:v>0.86871056850757766</c:v>
                </c:pt>
                <c:pt idx="87">
                  <c:v>0.86701503440135497</c:v>
                </c:pt>
                <c:pt idx="88">
                  <c:v>0.86528820070150081</c:v>
                </c:pt>
                <c:pt idx="89">
                  <c:v>0.86352968541032615</c:v>
                </c:pt>
                <c:pt idx="90">
                  <c:v>0.86173910537338971</c:v>
                </c:pt>
                <c:pt idx="91">
                  <c:v>0.85991607642518819</c:v>
                </c:pt>
                <c:pt idx="92">
                  <c:v>0.85806021354148643</c:v>
                </c:pt>
                <c:pt idx="93">
                  <c:v>0.85617113099845155</c:v>
                </c:pt>
                <c:pt idx="94">
                  <c:v>0.85424844253873222</c:v>
                </c:pt>
                <c:pt idx="95">
                  <c:v>0.85229176154465869</c:v>
                </c:pt>
                <c:pt idx="96">
                  <c:v>0.85030070121870338</c:v>
                </c:pt>
                <c:pt idx="97">
                  <c:v>0.84827487477137564</c:v>
                </c:pt>
                <c:pt idx="98">
                  <c:v>0.84621389561666216</c:v>
                </c:pt>
                <c:pt idx="99">
                  <c:v>0.84411737757522654</c:v>
                </c:pt>
              </c:numCache>
            </c:numRef>
          </c:val>
          <c:smooth val="0"/>
        </c:ser>
        <c:ser>
          <c:idx val="9"/>
          <c:order val="9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'+'!$R$4:$R$103</c:f>
              <c:numCache>
                <c:formatCode>General</c:formatCode>
                <c:ptCount val="100"/>
                <c:pt idx="0">
                  <c:v>0.96251944559726044</c:v>
                </c:pt>
                <c:pt idx="1">
                  <c:v>0.9625527733539071</c:v>
                </c:pt>
                <c:pt idx="2">
                  <c:v>0.96257837525592893</c:v>
                </c:pt>
                <c:pt idx="3">
                  <c:v>0.96259610602583212</c:v>
                </c:pt>
                <c:pt idx="4">
                  <c:v>0.96260581807681167</c:v>
                </c:pt>
                <c:pt idx="5">
                  <c:v>0.96260736148156467</c:v>
                </c:pt>
                <c:pt idx="6">
                  <c:v>0.96260058394091508</c:v>
                </c:pt>
                <c:pt idx="7">
                  <c:v>0.96258533075226005</c:v>
                </c:pt>
                <c:pt idx="8">
                  <c:v>0.9625614447778158</c:v>
                </c:pt>
                <c:pt idx="9">
                  <c:v>0.96252876641272689</c:v>
                </c:pt>
                <c:pt idx="10">
                  <c:v>0.96248713355300441</c:v>
                </c:pt>
                <c:pt idx="11">
                  <c:v>0.96243638156333899</c:v>
                </c:pt>
                <c:pt idx="12">
                  <c:v>0.96237634324478782</c:v>
                </c:pt>
                <c:pt idx="13">
                  <c:v>0.96230684880232276</c:v>
                </c:pt>
                <c:pt idx="14">
                  <c:v>0.96222772581232008</c:v>
                </c:pt>
                <c:pt idx="15">
                  <c:v>0.96213879918995071</c:v>
                </c:pt>
                <c:pt idx="16">
                  <c:v>0.96203989115649879</c:v>
                </c:pt>
                <c:pt idx="17">
                  <c:v>0.96193082120663731</c:v>
                </c:pt>
                <c:pt idx="18">
                  <c:v>0.96181140607569038</c:v>
                </c:pt>
                <c:pt idx="19">
                  <c:v>0.96168145970686836</c:v>
                </c:pt>
                <c:pt idx="20">
                  <c:v>0.96154079321851227</c:v>
                </c:pt>
                <c:pt idx="21">
                  <c:v>0.96138921487138684</c:v>
                </c:pt>
                <c:pt idx="22">
                  <c:v>0.96122653003601988</c:v>
                </c:pt>
                <c:pt idx="23">
                  <c:v>0.9610525411601103</c:v>
                </c:pt>
                <c:pt idx="24">
                  <c:v>0.96086704773606291</c:v>
                </c:pt>
                <c:pt idx="25">
                  <c:v>0.96066984626862861</c:v>
                </c:pt>
                <c:pt idx="26">
                  <c:v>0.96046073024271805</c:v>
                </c:pt>
                <c:pt idx="27">
                  <c:v>0.96023949009139342</c:v>
                </c:pt>
                <c:pt idx="28">
                  <c:v>0.96000591316407358</c:v>
                </c:pt>
                <c:pt idx="29">
                  <c:v>0.95975978369499304</c:v>
                </c:pt>
                <c:pt idx="30">
                  <c:v>0.95950088277193457</c:v>
                </c:pt>
                <c:pt idx="31">
                  <c:v>0.95922898830526893</c:v>
                </c:pt>
                <c:pt idx="32">
                  <c:v>0.95894387499736289</c:v>
                </c:pt>
                <c:pt idx="33">
                  <c:v>0.95864531431234412</c:v>
                </c:pt>
                <c:pt idx="34">
                  <c:v>0.95833307444632232</c:v>
                </c:pt>
                <c:pt idx="35">
                  <c:v>0.95800692029804557</c:v>
                </c:pt>
                <c:pt idx="36">
                  <c:v>0.95766661344007897</c:v>
                </c:pt>
                <c:pt idx="37">
                  <c:v>0.95731191209054278</c:v>
                </c:pt>
                <c:pt idx="38">
                  <c:v>0.95694257108542136</c:v>
                </c:pt>
                <c:pt idx="39">
                  <c:v>0.95655834185153454</c:v>
                </c:pt>
                <c:pt idx="40">
                  <c:v>0.95615897238019887</c:v>
                </c:pt>
                <c:pt idx="41">
                  <c:v>0.95574420720162145</c:v>
                </c:pt>
                <c:pt idx="42">
                  <c:v>0.95531378736011263</c:v>
                </c:pt>
                <c:pt idx="43">
                  <c:v>0.95486745039012699</c:v>
                </c:pt>
                <c:pt idx="44">
                  <c:v>0.95440493029322881</c:v>
                </c:pt>
                <c:pt idx="45">
                  <c:v>0.95392595751601994</c:v>
                </c:pt>
                <c:pt idx="46">
                  <c:v>0.9534302589291066</c:v>
                </c:pt>
                <c:pt idx="47">
                  <c:v>0.95291755780714893</c:v>
                </c:pt>
                <c:pt idx="48">
                  <c:v>0.95238757381008077</c:v>
                </c:pt>
                <c:pt idx="49">
                  <c:v>0.9518400229655577</c:v>
                </c:pt>
                <c:pt idx="50">
                  <c:v>0.95127461765269217</c:v>
                </c:pt>
                <c:pt idx="51">
                  <c:v>0.95069106658719316</c:v>
                </c:pt>
                <c:pt idx="52">
                  <c:v>0.9500890748079226</c:v>
                </c:pt>
                <c:pt idx="53">
                  <c:v>0.94946834366499655</c:v>
                </c:pt>
                <c:pt idx="54">
                  <c:v>0.94882857080949623</c:v>
                </c:pt>
                <c:pt idx="55">
                  <c:v>0.94816945018487009</c:v>
                </c:pt>
                <c:pt idx="56">
                  <c:v>0.94749067202011528</c:v>
                </c:pt>
                <c:pt idx="57">
                  <c:v>0.94679192282482716</c:v>
                </c:pt>
                <c:pt idx="58">
                  <c:v>0.94607288538620848</c:v>
                </c:pt>
                <c:pt idx="59">
                  <c:v>0.94533323876815079</c:v>
                </c:pt>
                <c:pt idx="60">
                  <c:v>0.94457265831243697</c:v>
                </c:pt>
                <c:pt idx="61">
                  <c:v>0.94379081564223333</c:v>
                </c:pt>
                <c:pt idx="62">
                  <c:v>0.94298737866791871</c:v>
                </c:pt>
                <c:pt idx="63">
                  <c:v>0.94216201159538115</c:v>
                </c:pt>
                <c:pt idx="64">
                  <c:v>0.94131437493689607</c:v>
                </c:pt>
                <c:pt idx="65">
                  <c:v>0.94044412552468226</c:v>
                </c:pt>
                <c:pt idx="66">
                  <c:v>0.93955091652726008</c:v>
                </c:pt>
                <c:pt idx="67">
                  <c:v>0.93863439746875021</c:v>
                </c:pt>
                <c:pt idx="68">
                  <c:v>0.93769421425118138</c:v>
                </c:pt>
                <c:pt idx="69">
                  <c:v>0.93673000917999127</c:v>
                </c:pt>
                <c:pt idx="70">
                  <c:v>0.93574142099282065</c:v>
                </c:pt>
                <c:pt idx="71">
                  <c:v>0.93472808489171821</c:v>
                </c:pt>
                <c:pt idx="72">
                  <c:v>0.93368963257892357</c:v>
                </c:pt>
                <c:pt idx="73">
                  <c:v>0.93262569229633541</c:v>
                </c:pt>
                <c:pt idx="74">
                  <c:v>0.93153588886882444</c:v>
                </c:pt>
                <c:pt idx="75">
                  <c:v>0.93041984375152376</c:v>
                </c:pt>
                <c:pt idx="76">
                  <c:v>0.9292771750812463</c:v>
                </c:pt>
                <c:pt idx="77">
                  <c:v>0.92810749773217061</c:v>
                </c:pt>
                <c:pt idx="78">
                  <c:v>0.92691042337597018</c:v>
                </c:pt>
                <c:pt idx="79">
                  <c:v>0.92568556054650519</c:v>
                </c:pt>
                <c:pt idx="80">
                  <c:v>0.92443251470926968</c:v>
                </c:pt>
                <c:pt idx="81">
                  <c:v>0.92315088833571379</c:v>
                </c:pt>
                <c:pt idx="82">
                  <c:v>0.92184028098265802</c:v>
                </c:pt>
                <c:pt idx="83">
                  <c:v>0.92050028937690409</c:v>
                </c:pt>
                <c:pt idx="84">
                  <c:v>0.91913050750525194</c:v>
                </c:pt>
                <c:pt idx="85">
                  <c:v>0.91773052671006827</c:v>
                </c:pt>
                <c:pt idx="86">
                  <c:v>0.91629993579060764</c:v>
                </c:pt>
                <c:pt idx="87">
                  <c:v>0.91483832111019681</c:v>
                </c:pt>
                <c:pt idx="88">
                  <c:v>0.91334526670954796</c:v>
                </c:pt>
                <c:pt idx="89">
                  <c:v>0.91182035442627618</c:v>
                </c:pt>
                <c:pt idx="90">
                  <c:v>0.91026316402089058</c:v>
                </c:pt>
                <c:pt idx="91">
                  <c:v>0.90867327330936309</c:v>
                </c:pt>
                <c:pt idx="92">
                  <c:v>0.90705025830249775</c:v>
                </c:pt>
                <c:pt idx="93">
                  <c:v>0.90539369335227016</c:v>
                </c:pt>
                <c:pt idx="94">
                  <c:v>0.90370315130529466</c:v>
                </c:pt>
                <c:pt idx="95">
                  <c:v>0.90197820366363413</c:v>
                </c:pt>
                <c:pt idx="96">
                  <c:v>0.90021842075309766</c:v>
                </c:pt>
                <c:pt idx="97">
                  <c:v>0.89842337189922417</c:v>
                </c:pt>
                <c:pt idx="98">
                  <c:v>0.89659262561112707</c:v>
                </c:pt>
                <c:pt idx="99">
                  <c:v>0.89472574977335506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9653792"/>
        <c:axId val="269650656"/>
      </c:lineChart>
      <c:catAx>
        <c:axId val="269653792"/>
        <c:scaling>
          <c:orientation val="minMax"/>
        </c:scaling>
        <c:delete val="0"/>
        <c:axPos val="b"/>
        <c:majorTickMark val="out"/>
        <c:minorTickMark val="in"/>
        <c:tickLblPos val="nextTo"/>
        <c:spPr>
          <a:noFill/>
          <a:ln w="31750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650656"/>
        <c:crosses val="autoZero"/>
        <c:auto val="1"/>
        <c:lblAlgn val="ctr"/>
        <c:lblOffset val="100"/>
        <c:tickLblSkip val="99"/>
        <c:tickMarkSkip val="25"/>
        <c:noMultiLvlLbl val="0"/>
      </c:catAx>
      <c:valAx>
        <c:axId val="269650656"/>
        <c:scaling>
          <c:orientation val="minMax"/>
          <c:min val="0.30000000000000004"/>
        </c:scaling>
        <c:delete val="0"/>
        <c:axPos val="l"/>
        <c:majorGridlines>
          <c:spPr>
            <a:ln w="2857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in"/>
        <c:minorTickMark val="in"/>
        <c:tickLblPos val="nextTo"/>
        <c:spPr>
          <a:noFill/>
          <a:ln w="28575">
            <a:solidFill>
              <a:schemeClr val="tx1">
                <a:lumMod val="75000"/>
                <a:lumOff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65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cust"/>
            <c:noEndCap val="0"/>
            <c:plus>
              <c:numRef>
                <c:f>'+'!$T$4:$T$103</c:f>
                <c:numCache>
                  <c:formatCode>General</c:formatCode>
                  <c:ptCount val="100"/>
                  <c:pt idx="0">
                    <c:v>7.8415948744004565E-2</c:v>
                  </c:pt>
                  <c:pt idx="1">
                    <c:v>7.8455278212473445E-2</c:v>
                  </c:pt>
                  <c:pt idx="2">
                    <c:v>7.8494800848108892E-2</c:v>
                  </c:pt>
                  <c:pt idx="3">
                    <c:v>7.8534515879146283E-2</c:v>
                  </c:pt>
                  <c:pt idx="4">
                    <c:v>7.8574422457378348E-2</c:v>
                  </c:pt>
                  <c:pt idx="5">
                    <c:v>7.8614519655549303E-2</c:v>
                  </c:pt>
                  <c:pt idx="6">
                    <c:v>7.8654806464675778E-2</c:v>
                  </c:pt>
                  <c:pt idx="7">
                    <c:v>7.8695281791298907E-2</c:v>
                  </c:pt>
                  <c:pt idx="8">
                    <c:v>7.8735944454657619E-2</c:v>
                  </c:pt>
                  <c:pt idx="9">
                    <c:v>7.8776793183781377E-2</c:v>
                  </c:pt>
                  <c:pt idx="10">
                    <c:v>7.8817826614517986E-2</c:v>
                  </c:pt>
                  <c:pt idx="11">
                    <c:v>7.8859043286466216E-2</c:v>
                  </c:pt>
                  <c:pt idx="12">
                    <c:v>7.8900441639839725E-2</c:v>
                  </c:pt>
                  <c:pt idx="13">
                    <c:v>7.8942020012238504E-2</c:v>
                  </c:pt>
                  <c:pt idx="14">
                    <c:v>7.89837766353398E-2</c:v>
                  </c:pt>
                  <c:pt idx="15">
                    <c:v>7.9025709631502225E-2</c:v>
                  </c:pt>
                  <c:pt idx="16">
                    <c:v>7.906781701028065E-2</c:v>
                  </c:pt>
                  <c:pt idx="17">
                    <c:v>7.9110096664850429E-2</c:v>
                  </c:pt>
                  <c:pt idx="18">
                    <c:v>7.915254636833767E-2</c:v>
                  </c:pt>
                  <c:pt idx="19">
                    <c:v>7.9195163770062194E-2</c:v>
                  </c:pt>
                  <c:pt idx="20">
                    <c:v>7.923794639167353E-2</c:v>
                  </c:pt>
                  <c:pt idx="21">
                    <c:v>7.9280891623201732E-2</c:v>
                  </c:pt>
                  <c:pt idx="22">
                    <c:v>7.9323996718998355E-2</c:v>
                  </c:pt>
                  <c:pt idx="23">
                    <c:v>7.9367258793582154E-2</c:v>
                  </c:pt>
                  <c:pt idx="24">
                    <c:v>7.9410674817376584E-2</c:v>
                  </c:pt>
                  <c:pt idx="25">
                    <c:v>7.9454241612349694E-2</c:v>
                  </c:pt>
                  <c:pt idx="26">
                    <c:v>7.9497955847538299E-2</c:v>
                  </c:pt>
                  <c:pt idx="27">
                    <c:v>7.9541814034468153E-2</c:v>
                  </c:pt>
                  <c:pt idx="28">
                    <c:v>7.9585812522464425E-2</c:v>
                  </c:pt>
                  <c:pt idx="29">
                    <c:v>7.9629947493842376E-2</c:v>
                  </c:pt>
                  <c:pt idx="30">
                    <c:v>7.967421495899428E-2</c:v>
                  </c:pt>
                  <c:pt idx="31">
                    <c:v>7.9718610751350366E-2</c:v>
                  </c:pt>
                  <c:pt idx="32">
                    <c:v>7.9763130522228359E-2</c:v>
                  </c:pt>
                  <c:pt idx="33">
                    <c:v>7.980776973555756E-2</c:v>
                  </c:pt>
                  <c:pt idx="34">
                    <c:v>7.9852523662485145E-2</c:v>
                  </c:pt>
                  <c:pt idx="35">
                    <c:v>7.9897387375859177E-2</c:v>
                  </c:pt>
                  <c:pt idx="36">
                    <c:v>7.9942355744581042E-2</c:v>
                  </c:pt>
                  <c:pt idx="37">
                    <c:v>7.9987423427839904E-2</c:v>
                  </c:pt>
                  <c:pt idx="38">
                    <c:v>8.0032584869208903E-2</c:v>
                  </c:pt>
                  <c:pt idx="39">
                    <c:v>8.0077834290618322E-2</c:v>
                  </c:pt>
                  <c:pt idx="40">
                    <c:v>8.0123165686195208E-2</c:v>
                  </c:pt>
                  <c:pt idx="41">
                    <c:v>8.0168572815967232E-2</c:v>
                  </c:pt>
                  <c:pt idx="42">
                    <c:v>8.0214049199435464E-2</c:v>
                  </c:pt>
                  <c:pt idx="43">
                    <c:v>8.0259588109007907E-2</c:v>
                  </c:pt>
                  <c:pt idx="44">
                    <c:v>8.0305182563298258E-2</c:v>
                  </c:pt>
                  <c:pt idx="45">
                    <c:v>8.0350825320285715E-2</c:v>
                  </c:pt>
                  <c:pt idx="46">
                    <c:v>8.0396508870333422E-2</c:v>
                  </c:pt>
                  <c:pt idx="47">
                    <c:v>8.0442225429066441E-2</c:v>
                  </c:pt>
                  <c:pt idx="48">
                    <c:v>8.0487966930111413E-2</c:v>
                  </c:pt>
                  <c:pt idx="49">
                    <c:v>8.0533725017686589E-2</c:v>
                  </c:pt>
                  <c:pt idx="50">
                    <c:v>8.0579491039055873E-2</c:v>
                  </c:pt>
                  <c:pt idx="51">
                    <c:v>8.0625256036834611E-2</c:v>
                  </c:pt>
                  <c:pt idx="52">
                    <c:v>8.0671010741151739E-2</c:v>
                  </c:pt>
                  <c:pt idx="53">
                    <c:v>8.0716745561667122E-2</c:v>
                  </c:pt>
                  <c:pt idx="54">
                    <c:v>8.0762450579442729E-2</c:v>
                  </c:pt>
                  <c:pt idx="55">
                    <c:v>8.0808115538671801E-2</c:v>
                  </c:pt>
                  <c:pt idx="56">
                    <c:v>8.0853729838259267E-2</c:v>
                  </c:pt>
                  <c:pt idx="57">
                    <c:v>8.089928252325744E-2</c:v>
                  </c:pt>
                  <c:pt idx="58">
                    <c:v>8.0944762276160834E-2</c:v>
                  </c:pt>
                  <c:pt idx="59">
                    <c:v>8.099015740805289E-2</c:v>
                  </c:pt>
                  <c:pt idx="60">
                    <c:v>8.1035455849613872E-2</c:v>
                  </c:pt>
                  <c:pt idx="61">
                    <c:v>8.108064514198117E-2</c:v>
                  </c:pt>
                  <c:pt idx="62">
                    <c:v>8.1125712427476487E-2</c:v>
                  </c:pt>
                  <c:pt idx="63">
                    <c:v>8.1170644440187317E-2</c:v>
                  </c:pt>
                  <c:pt idx="64">
                    <c:v>8.1215427496414569E-2</c:v>
                  </c:pt>
                  <c:pt idx="65">
                    <c:v>8.1260047484984665E-2</c:v>
                  </c:pt>
                  <c:pt idx="66">
                    <c:v>8.1304489857425943E-2</c:v>
                  </c:pt>
                  <c:pt idx="67">
                    <c:v>8.1348739618021637E-2</c:v>
                  </c:pt>
                  <c:pt idx="68">
                    <c:v>8.139278131372546E-2</c:v>
                  </c:pt>
                  <c:pt idx="69">
                    <c:v>8.1436599023963566E-2</c:v>
                  </c:pt>
                  <c:pt idx="70">
                    <c:v>8.1480176350308783E-2</c:v>
                  </c:pt>
                  <c:pt idx="71">
                    <c:v>8.1523496406038842E-2</c:v>
                  </c:pt>
                  <c:pt idx="72">
                    <c:v>8.1566541805588255E-2</c:v>
                  </c:pt>
                  <c:pt idx="73">
                    <c:v>8.1609294653885181E-2</c:v>
                  </c:pt>
                  <c:pt idx="74">
                    <c:v>8.1651736535592795E-2</c:v>
                  </c:pt>
                  <c:pt idx="75">
                    <c:v>8.1693848504246269E-2</c:v>
                  </c:pt>
                  <c:pt idx="76">
                    <c:v>8.1735611071306918E-2</c:v>
                  </c:pt>
                  <c:pt idx="77">
                    <c:v>8.1777004195125874E-2</c:v>
                  </c:pt>
                  <c:pt idx="78">
                    <c:v>8.181800726983203E-2</c:v>
                  </c:pt>
                  <c:pt idx="79">
                    <c:v>8.1858599114152733E-2</c:v>
                  </c:pt>
                  <c:pt idx="80">
                    <c:v>8.1898757960167726E-2</c:v>
                  </c:pt>
                  <c:pt idx="81">
                    <c:v>8.1938461442008934E-2</c:v>
                  </c:pt>
                  <c:pt idx="82">
                    <c:v>8.1977686584523132E-2</c:v>
                  </c:pt>
                  <c:pt idx="83">
                    <c:v>8.2016409791888414E-2</c:v>
                  </c:pt>
                  <c:pt idx="84">
                    <c:v>8.2054606836213656E-2</c:v>
                  </c:pt>
                  <c:pt idx="85">
                    <c:v>8.2092252846118041E-2</c:v>
                  </c:pt>
                  <c:pt idx="86">
                    <c:v>8.2129322295313306E-2</c:v>
                  </c:pt>
                  <c:pt idx="87">
                    <c:v>8.2165788991185887E-2</c:v>
                  </c:pt>
                  <c:pt idx="88">
                    <c:v>8.2201626063410485E-2</c:v>
                  </c:pt>
                  <c:pt idx="89">
                    <c:v>8.2236805952591224E-2</c:v>
                  </c:pt>
                  <c:pt idx="90">
                    <c:v>8.2271300398951711E-2</c:v>
                  </c:pt>
                  <c:pt idx="91">
                    <c:v>8.2305080431095703E-2</c:v>
                  </c:pt>
                  <c:pt idx="92">
                    <c:v>8.233811635483472E-2</c:v>
                  </c:pt>
                  <c:pt idx="93">
                    <c:v>8.2370377742121567E-2</c:v>
                  </c:pt>
                  <c:pt idx="94">
                    <c:v>8.2401833420088735E-2</c:v>
                  </c:pt>
                  <c:pt idx="95">
                    <c:v>8.2432451460222336E-2</c:v>
                  </c:pt>
                  <c:pt idx="96">
                    <c:v>8.2462199167672875E-2</c:v>
                  </c:pt>
                  <c:pt idx="97">
                    <c:v>8.2491043070750975E-2</c:v>
                  </c:pt>
                  <c:pt idx="98">
                    <c:v>8.2518948910593096E-2</c:v>
                  </c:pt>
                  <c:pt idx="99">
                    <c:v>8.25458816310463E-2</c:v>
                  </c:pt>
                </c:numCache>
              </c:numRef>
            </c:plus>
            <c:minus>
              <c:numRef>
                <c:f>'+'!$T$4:$T$103</c:f>
                <c:numCache>
                  <c:formatCode>General</c:formatCode>
                  <c:ptCount val="100"/>
                  <c:pt idx="0">
                    <c:v>7.8415948744004565E-2</c:v>
                  </c:pt>
                  <c:pt idx="1">
                    <c:v>7.8455278212473445E-2</c:v>
                  </c:pt>
                  <c:pt idx="2">
                    <c:v>7.8494800848108892E-2</c:v>
                  </c:pt>
                  <c:pt idx="3">
                    <c:v>7.8534515879146283E-2</c:v>
                  </c:pt>
                  <c:pt idx="4">
                    <c:v>7.8574422457378348E-2</c:v>
                  </c:pt>
                  <c:pt idx="5">
                    <c:v>7.8614519655549303E-2</c:v>
                  </c:pt>
                  <c:pt idx="6">
                    <c:v>7.8654806464675778E-2</c:v>
                  </c:pt>
                  <c:pt idx="7">
                    <c:v>7.8695281791298907E-2</c:v>
                  </c:pt>
                  <c:pt idx="8">
                    <c:v>7.8735944454657619E-2</c:v>
                  </c:pt>
                  <c:pt idx="9">
                    <c:v>7.8776793183781377E-2</c:v>
                  </c:pt>
                  <c:pt idx="10">
                    <c:v>7.8817826614517986E-2</c:v>
                  </c:pt>
                  <c:pt idx="11">
                    <c:v>7.8859043286466216E-2</c:v>
                  </c:pt>
                  <c:pt idx="12">
                    <c:v>7.8900441639839725E-2</c:v>
                  </c:pt>
                  <c:pt idx="13">
                    <c:v>7.8942020012238504E-2</c:v>
                  </c:pt>
                  <c:pt idx="14">
                    <c:v>7.89837766353398E-2</c:v>
                  </c:pt>
                  <c:pt idx="15">
                    <c:v>7.9025709631502225E-2</c:v>
                  </c:pt>
                  <c:pt idx="16">
                    <c:v>7.906781701028065E-2</c:v>
                  </c:pt>
                  <c:pt idx="17">
                    <c:v>7.9110096664850429E-2</c:v>
                  </c:pt>
                  <c:pt idx="18">
                    <c:v>7.915254636833767E-2</c:v>
                  </c:pt>
                  <c:pt idx="19">
                    <c:v>7.9195163770062194E-2</c:v>
                  </c:pt>
                  <c:pt idx="20">
                    <c:v>7.923794639167353E-2</c:v>
                  </c:pt>
                  <c:pt idx="21">
                    <c:v>7.9280891623201732E-2</c:v>
                  </c:pt>
                  <c:pt idx="22">
                    <c:v>7.9323996718998355E-2</c:v>
                  </c:pt>
                  <c:pt idx="23">
                    <c:v>7.9367258793582154E-2</c:v>
                  </c:pt>
                  <c:pt idx="24">
                    <c:v>7.9410674817376584E-2</c:v>
                  </c:pt>
                  <c:pt idx="25">
                    <c:v>7.9454241612349694E-2</c:v>
                  </c:pt>
                  <c:pt idx="26">
                    <c:v>7.9497955847538299E-2</c:v>
                  </c:pt>
                  <c:pt idx="27">
                    <c:v>7.9541814034468153E-2</c:v>
                  </c:pt>
                  <c:pt idx="28">
                    <c:v>7.9585812522464425E-2</c:v>
                  </c:pt>
                  <c:pt idx="29">
                    <c:v>7.9629947493842376E-2</c:v>
                  </c:pt>
                  <c:pt idx="30">
                    <c:v>7.967421495899428E-2</c:v>
                  </c:pt>
                  <c:pt idx="31">
                    <c:v>7.9718610751350366E-2</c:v>
                  </c:pt>
                  <c:pt idx="32">
                    <c:v>7.9763130522228359E-2</c:v>
                  </c:pt>
                  <c:pt idx="33">
                    <c:v>7.980776973555756E-2</c:v>
                  </c:pt>
                  <c:pt idx="34">
                    <c:v>7.9852523662485145E-2</c:v>
                  </c:pt>
                  <c:pt idx="35">
                    <c:v>7.9897387375859177E-2</c:v>
                  </c:pt>
                  <c:pt idx="36">
                    <c:v>7.9942355744581042E-2</c:v>
                  </c:pt>
                  <c:pt idx="37">
                    <c:v>7.9987423427839904E-2</c:v>
                  </c:pt>
                  <c:pt idx="38">
                    <c:v>8.0032584869208903E-2</c:v>
                  </c:pt>
                  <c:pt idx="39">
                    <c:v>8.0077834290618322E-2</c:v>
                  </c:pt>
                  <c:pt idx="40">
                    <c:v>8.0123165686195208E-2</c:v>
                  </c:pt>
                  <c:pt idx="41">
                    <c:v>8.0168572815967232E-2</c:v>
                  </c:pt>
                  <c:pt idx="42">
                    <c:v>8.0214049199435464E-2</c:v>
                  </c:pt>
                  <c:pt idx="43">
                    <c:v>8.0259588109007907E-2</c:v>
                  </c:pt>
                  <c:pt idx="44">
                    <c:v>8.0305182563298258E-2</c:v>
                  </c:pt>
                  <c:pt idx="45">
                    <c:v>8.0350825320285715E-2</c:v>
                  </c:pt>
                  <c:pt idx="46">
                    <c:v>8.0396508870333422E-2</c:v>
                  </c:pt>
                  <c:pt idx="47">
                    <c:v>8.0442225429066441E-2</c:v>
                  </c:pt>
                  <c:pt idx="48">
                    <c:v>8.0487966930111413E-2</c:v>
                  </c:pt>
                  <c:pt idx="49">
                    <c:v>8.0533725017686589E-2</c:v>
                  </c:pt>
                  <c:pt idx="50">
                    <c:v>8.0579491039055873E-2</c:v>
                  </c:pt>
                  <c:pt idx="51">
                    <c:v>8.0625256036834611E-2</c:v>
                  </c:pt>
                  <c:pt idx="52">
                    <c:v>8.0671010741151739E-2</c:v>
                  </c:pt>
                  <c:pt idx="53">
                    <c:v>8.0716745561667122E-2</c:v>
                  </c:pt>
                  <c:pt idx="54">
                    <c:v>8.0762450579442729E-2</c:v>
                  </c:pt>
                  <c:pt idx="55">
                    <c:v>8.0808115538671801E-2</c:v>
                  </c:pt>
                  <c:pt idx="56">
                    <c:v>8.0853729838259267E-2</c:v>
                  </c:pt>
                  <c:pt idx="57">
                    <c:v>8.089928252325744E-2</c:v>
                  </c:pt>
                  <c:pt idx="58">
                    <c:v>8.0944762276160834E-2</c:v>
                  </c:pt>
                  <c:pt idx="59">
                    <c:v>8.099015740805289E-2</c:v>
                  </c:pt>
                  <c:pt idx="60">
                    <c:v>8.1035455849613872E-2</c:v>
                  </c:pt>
                  <c:pt idx="61">
                    <c:v>8.108064514198117E-2</c:v>
                  </c:pt>
                  <c:pt idx="62">
                    <c:v>8.1125712427476487E-2</c:v>
                  </c:pt>
                  <c:pt idx="63">
                    <c:v>8.1170644440187317E-2</c:v>
                  </c:pt>
                  <c:pt idx="64">
                    <c:v>8.1215427496414569E-2</c:v>
                  </c:pt>
                  <c:pt idx="65">
                    <c:v>8.1260047484984665E-2</c:v>
                  </c:pt>
                  <c:pt idx="66">
                    <c:v>8.1304489857425943E-2</c:v>
                  </c:pt>
                  <c:pt idx="67">
                    <c:v>8.1348739618021637E-2</c:v>
                  </c:pt>
                  <c:pt idx="68">
                    <c:v>8.139278131372546E-2</c:v>
                  </c:pt>
                  <c:pt idx="69">
                    <c:v>8.1436599023963566E-2</c:v>
                  </c:pt>
                  <c:pt idx="70">
                    <c:v>8.1480176350308783E-2</c:v>
                  </c:pt>
                  <c:pt idx="71">
                    <c:v>8.1523496406038842E-2</c:v>
                  </c:pt>
                  <c:pt idx="72">
                    <c:v>8.1566541805588255E-2</c:v>
                  </c:pt>
                  <c:pt idx="73">
                    <c:v>8.1609294653885181E-2</c:v>
                  </c:pt>
                  <c:pt idx="74">
                    <c:v>8.1651736535592795E-2</c:v>
                  </c:pt>
                  <c:pt idx="75">
                    <c:v>8.1693848504246269E-2</c:v>
                  </c:pt>
                  <c:pt idx="76">
                    <c:v>8.1735611071306918E-2</c:v>
                  </c:pt>
                  <c:pt idx="77">
                    <c:v>8.1777004195125874E-2</c:v>
                  </c:pt>
                  <c:pt idx="78">
                    <c:v>8.181800726983203E-2</c:v>
                  </c:pt>
                  <c:pt idx="79">
                    <c:v>8.1858599114152733E-2</c:v>
                  </c:pt>
                  <c:pt idx="80">
                    <c:v>8.1898757960167726E-2</c:v>
                  </c:pt>
                  <c:pt idx="81">
                    <c:v>8.1938461442008934E-2</c:v>
                  </c:pt>
                  <c:pt idx="82">
                    <c:v>8.1977686584523132E-2</c:v>
                  </c:pt>
                  <c:pt idx="83">
                    <c:v>8.2016409791888414E-2</c:v>
                  </c:pt>
                  <c:pt idx="84">
                    <c:v>8.2054606836213656E-2</c:v>
                  </c:pt>
                  <c:pt idx="85">
                    <c:v>8.2092252846118041E-2</c:v>
                  </c:pt>
                  <c:pt idx="86">
                    <c:v>8.2129322295313306E-2</c:v>
                  </c:pt>
                  <c:pt idx="87">
                    <c:v>8.2165788991185887E-2</c:v>
                  </c:pt>
                  <c:pt idx="88">
                    <c:v>8.2201626063410485E-2</c:v>
                  </c:pt>
                  <c:pt idx="89">
                    <c:v>8.2236805952591224E-2</c:v>
                  </c:pt>
                  <c:pt idx="90">
                    <c:v>8.2271300398951711E-2</c:v>
                  </c:pt>
                  <c:pt idx="91">
                    <c:v>8.2305080431095703E-2</c:v>
                  </c:pt>
                  <c:pt idx="92">
                    <c:v>8.233811635483472E-2</c:v>
                  </c:pt>
                  <c:pt idx="93">
                    <c:v>8.2370377742121567E-2</c:v>
                  </c:pt>
                  <c:pt idx="94">
                    <c:v>8.2401833420088735E-2</c:v>
                  </c:pt>
                  <c:pt idx="95">
                    <c:v>8.2432451460222336E-2</c:v>
                  </c:pt>
                  <c:pt idx="96">
                    <c:v>8.2462199167672875E-2</c:v>
                  </c:pt>
                  <c:pt idx="97">
                    <c:v>8.2491043070750975E-2</c:v>
                  </c:pt>
                  <c:pt idx="98">
                    <c:v>8.2518948910593096E-2</c:v>
                  </c:pt>
                  <c:pt idx="99">
                    <c:v>8.25458816310463E-2</c:v>
                  </c:pt>
                </c:numCache>
              </c:numRef>
            </c:minus>
            <c:spPr>
              <a:noFill/>
              <a:ln w="12700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'+'!$S$4:$S$103</c:f>
              <c:numCache>
                <c:formatCode>General</c:formatCode>
                <c:ptCount val="100"/>
                <c:pt idx="0">
                  <c:v>0.90448725524276807</c:v>
                </c:pt>
                <c:pt idx="1">
                  <c:v>0.90435830996921085</c:v>
                </c:pt>
                <c:pt idx="2">
                  <c:v>0.90422115707935158</c:v>
                </c:pt>
                <c:pt idx="3">
                  <c:v>0.90407565567150916</c:v>
                </c:pt>
                <c:pt idx="4">
                  <c:v>0.9039216627217771</c:v>
                </c:pt>
                <c:pt idx="5">
                  <c:v>0.90375903305740279</c:v>
                </c:pt>
                <c:pt idx="6">
                  <c:v>0.90358761933007181</c:v>
                </c:pt>
                <c:pt idx="7">
                  <c:v>0.90340727198909521</c:v>
                </c:pt>
                <c:pt idx="8">
                  <c:v>0.90321783925450794</c:v>
                </c:pt>
                <c:pt idx="9">
                  <c:v>0.90301916709011576</c:v>
                </c:pt>
                <c:pt idx="10">
                  <c:v>0.90281109917646984</c:v>
                </c:pt>
                <c:pt idx="11">
                  <c:v>0.90259347688381142</c:v>
                </c:pt>
                <c:pt idx="12">
                  <c:v>0.90236613924498454</c:v>
                </c:pt>
                <c:pt idx="13">
                  <c:v>0.90212892292833613</c:v>
                </c:pt>
                <c:pt idx="14">
                  <c:v>0.90188166221062382</c:v>
                </c:pt>
                <c:pt idx="15">
                  <c:v>0.90162418894994578</c:v>
                </c:pt>
                <c:pt idx="16">
                  <c:v>0.90135633255870096</c:v>
                </c:pt>
                <c:pt idx="17">
                  <c:v>0.90107791997661812</c:v>
                </c:pt>
                <c:pt idx="18">
                  <c:v>0.90078877564385706</c:v>
                </c:pt>
                <c:pt idx="19">
                  <c:v>0.90048872147420644</c:v>
                </c:pt>
                <c:pt idx="20">
                  <c:v>0.90017757682839927</c:v>
                </c:pt>
                <c:pt idx="21">
                  <c:v>0.89985515848757669</c:v>
                </c:pt>
                <c:pt idx="22">
                  <c:v>0.89952128062691106</c:v>
                </c:pt>
                <c:pt idx="23">
                  <c:v>0.89917575478941403</c:v>
                </c:pt>
                <c:pt idx="24">
                  <c:v>0.8988183898599772</c:v>
                </c:pt>
                <c:pt idx="25">
                  <c:v>0.8984489920396308</c:v>
                </c:pt>
                <c:pt idx="26">
                  <c:v>0.89806736482009253</c:v>
                </c:pt>
                <c:pt idx="27">
                  <c:v>0.89767330895860464</c:v>
                </c:pt>
                <c:pt idx="28">
                  <c:v>0.89726662245309896</c:v>
                </c:pt>
                <c:pt idx="29">
                  <c:v>0.89684710051773653</c:v>
                </c:pt>
                <c:pt idx="30">
                  <c:v>0.89641453555882278</c:v>
                </c:pt>
                <c:pt idx="31">
                  <c:v>0.895968717151165</c:v>
                </c:pt>
                <c:pt idx="32">
                  <c:v>0.89550943201489075</c:v>
                </c:pt>
                <c:pt idx="33">
                  <c:v>0.89503646399276637</c:v>
                </c:pt>
                <c:pt idx="34">
                  <c:v>0.89454959402805545</c:v>
                </c:pt>
                <c:pt idx="35">
                  <c:v>0.89404860014296117</c:v>
                </c:pt>
                <c:pt idx="36">
                  <c:v>0.89353325741768652</c:v>
                </c:pt>
                <c:pt idx="37">
                  <c:v>0.89300333797017051</c:v>
                </c:pt>
                <c:pt idx="38">
                  <c:v>0.89245861093652112</c:v>
                </c:pt>
                <c:pt idx="39">
                  <c:v>0.89189884245221995</c:v>
                </c:pt>
                <c:pt idx="40">
                  <c:v>0.89132379563412489</c:v>
                </c:pt>
                <c:pt idx="41">
                  <c:v>0.89073323056333498</c:v>
                </c:pt>
                <c:pt idx="42">
                  <c:v>0.89012690426896113</c:v>
                </c:pt>
                <c:pt idx="43">
                  <c:v>0.88950457071286571</c:v>
                </c:pt>
                <c:pt idx="44">
                  <c:v>0.88886598077541501</c:v>
                </c:pt>
                <c:pt idx="45">
                  <c:v>0.88821088224231171</c:v>
                </c:pt>
                <c:pt idx="46">
                  <c:v>0.88753901979257144</c:v>
                </c:pt>
                <c:pt idx="47">
                  <c:v>0.88685013498769005</c:v>
                </c:pt>
                <c:pt idx="48">
                  <c:v>0.8861439662620787</c:v>
                </c:pt>
                <c:pt idx="49">
                  <c:v>0.88542024891483062</c:v>
                </c:pt>
                <c:pt idx="50">
                  <c:v>0.88467871510288387</c:v>
                </c:pt>
                <c:pt idx="51">
                  <c:v>0.88391909383565737</c:v>
                </c:pt>
                <c:pt idx="52">
                  <c:v>0.88314111097122672</c:v>
                </c:pt>
                <c:pt idx="53">
                  <c:v>0.88234448921411879</c:v>
                </c:pt>
                <c:pt idx="54">
                  <c:v>0.88152894811480209</c:v>
                </c:pt>
                <c:pt idx="55">
                  <c:v>0.88069420407095278</c:v>
                </c:pt>
                <c:pt idx="56">
                  <c:v>0.87983997033058015</c:v>
                </c:pt>
                <c:pt idx="57">
                  <c:v>0.87896595699709279</c:v>
                </c:pt>
                <c:pt idx="58">
                  <c:v>0.87807187103639239</c:v>
                </c:pt>
                <c:pt idx="59">
                  <c:v>0.87715741628610322</c:v>
                </c:pt>
                <c:pt idx="60">
                  <c:v>0.87622229346698666</c:v>
                </c:pt>
                <c:pt idx="61">
                  <c:v>0.87526620019669532</c:v>
                </c:pt>
                <c:pt idx="62">
                  <c:v>0.87428883100590493</c:v>
                </c:pt>
                <c:pt idx="63">
                  <c:v>0.87328987735697061</c:v>
                </c:pt>
                <c:pt idx="64">
                  <c:v>0.87226902766517878</c:v>
                </c:pt>
                <c:pt idx="65">
                  <c:v>0.87122596732272162</c:v>
                </c:pt>
                <c:pt idx="66">
                  <c:v>0.87016037872548302</c:v>
                </c:pt>
                <c:pt idx="67">
                  <c:v>0.86907194130276955</c:v>
                </c:pt>
                <c:pt idx="68">
                  <c:v>0.86796033155007335</c:v>
                </c:pt>
                <c:pt idx="69">
                  <c:v>0.86682522306500265</c:v>
                </c:pt>
                <c:pt idx="70">
                  <c:v>0.86566628658649147</c:v>
                </c:pt>
                <c:pt idx="71">
                  <c:v>0.86448319003740814</c:v>
                </c:pt>
                <c:pt idx="72">
                  <c:v>0.86327559857068736</c:v>
                </c:pt>
                <c:pt idx="73">
                  <c:v>0.86204317461910984</c:v>
                </c:pt>
                <c:pt idx="74">
                  <c:v>0.8607855779488679</c:v>
                </c:pt>
                <c:pt idx="75">
                  <c:v>0.85950246571702915</c:v>
                </c:pt>
                <c:pt idx="76">
                  <c:v>0.85819349253305044</c:v>
                </c:pt>
                <c:pt idx="77">
                  <c:v>0.85685831052446648</c:v>
                </c:pt>
                <c:pt idx="78">
                  <c:v>0.85549656940689134</c:v>
                </c:pt>
                <c:pt idx="79">
                  <c:v>0.85410791655848473</c:v>
                </c:pt>
                <c:pt idx="80">
                  <c:v>0.85269199709900145</c:v>
                </c:pt>
                <c:pt idx="81">
                  <c:v>0.85124845397359383</c:v>
                </c:pt>
                <c:pt idx="82">
                  <c:v>0.84977692804149429</c:v>
                </c:pt>
                <c:pt idx="83">
                  <c:v>0.84827705816973753</c:v>
                </c:pt>
                <c:pt idx="84">
                  <c:v>0.84674848133205882</c:v>
                </c:pt>
                <c:pt idx="85">
                  <c:v>0.84519083271313244</c:v>
                </c:pt>
                <c:pt idx="86">
                  <c:v>0.84360374581829267</c:v>
                </c:pt>
                <c:pt idx="87">
                  <c:v>0.84198685258888761</c:v>
                </c:pt>
                <c:pt idx="88">
                  <c:v>0.84033978352343386</c:v>
                </c:pt>
                <c:pt idx="89">
                  <c:v>0.83866216780470926</c:v>
                </c:pt>
                <c:pt idx="90">
                  <c:v>0.83695363343294782</c:v>
                </c:pt>
                <c:pt idx="91">
                  <c:v>0.83521380736528616</c:v>
                </c:pt>
                <c:pt idx="92">
                  <c:v>0.83344231566162574</c:v>
                </c:pt>
                <c:pt idx="93">
                  <c:v>0.83163878363705446</c:v>
                </c:pt>
                <c:pt idx="94">
                  <c:v>0.82980283602098659</c:v>
                </c:pt>
                <c:pt idx="95">
                  <c:v>0.82793409712316657</c:v>
                </c:pt>
                <c:pt idx="96">
                  <c:v>0.82603219100670877</c:v>
                </c:pt>
                <c:pt idx="97">
                  <c:v>0.8240967416682945</c:v>
                </c:pt>
                <c:pt idx="98">
                  <c:v>0.8221273732256924</c:v>
                </c:pt>
                <c:pt idx="99">
                  <c:v>0.82012371011274876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9652224"/>
        <c:axId val="269652616"/>
      </c:lineChart>
      <c:catAx>
        <c:axId val="269652224"/>
        <c:scaling>
          <c:orientation val="minMax"/>
        </c:scaling>
        <c:delete val="0"/>
        <c:axPos val="b"/>
        <c:majorTickMark val="out"/>
        <c:minorTickMark val="in"/>
        <c:tickLblPos val="nextTo"/>
        <c:spPr>
          <a:noFill/>
          <a:ln w="31750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652616"/>
        <c:crosses val="autoZero"/>
        <c:auto val="1"/>
        <c:lblAlgn val="ctr"/>
        <c:lblOffset val="100"/>
        <c:tickLblSkip val="99"/>
        <c:tickMarkSkip val="25"/>
        <c:noMultiLvlLbl val="0"/>
      </c:catAx>
      <c:valAx>
        <c:axId val="269652616"/>
        <c:scaling>
          <c:orientation val="minMax"/>
          <c:min val="0.5"/>
        </c:scaling>
        <c:delete val="0"/>
        <c:axPos val="l"/>
        <c:majorGridlines>
          <c:spPr>
            <a:ln w="2857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in"/>
        <c:minorTickMark val="in"/>
        <c:tickLblPos val="nextTo"/>
        <c:spPr>
          <a:noFill/>
          <a:ln w="28575">
            <a:solidFill>
              <a:schemeClr val="tx1">
                <a:lumMod val="75000"/>
                <a:lumOff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65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47625</xdr:colOff>
      <xdr:row>2</xdr:row>
      <xdr:rowOff>133350</xdr:rowOff>
    </xdr:from>
    <xdr:to>
      <xdr:col>46</xdr:col>
      <xdr:colOff>104775</xdr:colOff>
      <xdr:row>4</xdr:row>
      <xdr:rowOff>171450</xdr:rowOff>
    </xdr:to>
    <xdr:pic>
      <xdr:nvPicPr>
        <xdr:cNvPr id="10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9875" y="514350"/>
          <a:ext cx="356235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19050</xdr:colOff>
          <xdr:row>25</xdr:row>
          <xdr:rowOff>0</xdr:rowOff>
        </xdr:from>
        <xdr:to>
          <xdr:col>48</xdr:col>
          <xdr:colOff>0</xdr:colOff>
          <xdr:row>26</xdr:row>
          <xdr:rowOff>190500</xdr:rowOff>
        </xdr:to>
        <xdr:sp macro="" textlink="">
          <xdr:nvSpPr>
            <xdr:cNvPr id="18439" name="ScrollBar1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119063</xdr:colOff>
      <xdr:row>0</xdr:row>
      <xdr:rowOff>548013</xdr:rowOff>
    </xdr:from>
    <xdr:to>
      <xdr:col>46</xdr:col>
      <xdr:colOff>158751</xdr:colOff>
      <xdr:row>5</xdr:row>
      <xdr:rowOff>73666</xdr:rowOff>
    </xdr:to>
    <xdr:graphicFrame macro="">
      <xdr:nvGraphicFramePr>
        <xdr:cNvPr id="2" name="Result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93265</xdr:colOff>
      <xdr:row>1</xdr:row>
      <xdr:rowOff>10765</xdr:rowOff>
    </xdr:from>
    <xdr:to>
      <xdr:col>23</xdr:col>
      <xdr:colOff>132953</xdr:colOff>
      <xdr:row>5</xdr:row>
      <xdr:rowOff>97480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48</xdr:col>
      <xdr:colOff>99219</xdr:colOff>
      <xdr:row>1</xdr:row>
      <xdr:rowOff>6797</xdr:rowOff>
    </xdr:from>
    <xdr:to>
      <xdr:col>70</xdr:col>
      <xdr:colOff>138907</xdr:colOff>
      <xdr:row>5</xdr:row>
      <xdr:rowOff>93512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142874</xdr:colOff>
      <xdr:row>22</xdr:row>
      <xdr:rowOff>142876</xdr:rowOff>
    </xdr:from>
    <xdr:to>
      <xdr:col>49</xdr:col>
      <xdr:colOff>59530</xdr:colOff>
      <xdr:row>25</xdr:row>
      <xdr:rowOff>47625</xdr:rowOff>
    </xdr:to>
    <xdr:sp macro="" textlink="">
      <xdr:nvSpPr>
        <xdr:cNvPr id="24" name="Rounded Rectangle 23"/>
        <xdr:cNvSpPr/>
      </xdr:nvSpPr>
      <xdr:spPr>
        <a:xfrm>
          <a:off x="5153285" y="5662157"/>
          <a:ext cx="5135834" cy="51800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200025</xdr:colOff>
          <xdr:row>23</xdr:row>
          <xdr:rowOff>76200</xdr:rowOff>
        </xdr:from>
        <xdr:to>
          <xdr:col>47</xdr:col>
          <xdr:colOff>200025</xdr:colOff>
          <xdr:row>24</xdr:row>
          <xdr:rowOff>142875</xdr:rowOff>
        </xdr:to>
        <xdr:sp macro="" textlink="">
          <xdr:nvSpPr>
            <xdr:cNvPr id="15362" name="ScrollBar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79</xdr:col>
      <xdr:colOff>28868</xdr:colOff>
      <xdr:row>17</xdr:row>
      <xdr:rowOff>188868</xdr:rowOff>
    </xdr:from>
    <xdr:to>
      <xdr:col>98</xdr:col>
      <xdr:colOff>195719</xdr:colOff>
      <xdr:row>24</xdr:row>
      <xdr:rowOff>26095</xdr:rowOff>
    </xdr:to>
    <xdr:sp macro="[0]!Scan" textlink="">
      <xdr:nvSpPr>
        <xdr:cNvPr id="21" name="Rounded Rectangle 20"/>
        <xdr:cNvSpPr/>
      </xdr:nvSpPr>
      <xdr:spPr>
        <a:xfrm>
          <a:off x="16756334" y="4729553"/>
          <a:ext cx="4133426" cy="120726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/>
            <a:t>Scan</a:t>
          </a:r>
        </a:p>
      </xdr:txBody>
    </xdr:sp>
    <xdr:clientData/>
  </xdr:twoCellAnchor>
  <xdr:twoCellAnchor>
    <xdr:from>
      <xdr:col>0</xdr:col>
      <xdr:colOff>11907</xdr:colOff>
      <xdr:row>24</xdr:row>
      <xdr:rowOff>95250</xdr:rowOff>
    </xdr:from>
    <xdr:to>
      <xdr:col>24</xdr:col>
      <xdr:colOff>39143</xdr:colOff>
      <xdr:row>41</xdr:row>
      <xdr:rowOff>6541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75</xdr:col>
      <xdr:colOff>77636</xdr:colOff>
      <xdr:row>1</xdr:row>
      <xdr:rowOff>156576</xdr:rowOff>
    </xdr:from>
    <xdr:to>
      <xdr:col>102</xdr:col>
      <xdr:colOff>156575</xdr:colOff>
      <xdr:row>17</xdr:row>
      <xdr:rowOff>117431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0</xdr:colOff>
      <xdr:row>56</xdr:row>
      <xdr:rowOff>59532</xdr:rowOff>
    </xdr:from>
    <xdr:to>
      <xdr:col>44</xdr:col>
      <xdr:colOff>59532</xdr:colOff>
      <xdr:row>65</xdr:row>
      <xdr:rowOff>1202531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2</xdr:row>
      <xdr:rowOff>180975</xdr:rowOff>
    </xdr:from>
    <xdr:to>
      <xdr:col>7</xdr:col>
      <xdr:colOff>0</xdr:colOff>
      <xdr:row>18</xdr:row>
      <xdr:rowOff>37446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361950</xdr:colOff>
      <xdr:row>19</xdr:row>
      <xdr:rowOff>57150</xdr:rowOff>
    </xdr:from>
    <xdr:to>
      <xdr:col>6</xdr:col>
      <xdr:colOff>542925</xdr:colOff>
      <xdr:row>34</xdr:row>
      <xdr:rowOff>104121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2</xdr:row>
      <xdr:rowOff>180975</xdr:rowOff>
    </xdr:from>
    <xdr:to>
      <xdr:col>7</xdr:col>
      <xdr:colOff>0</xdr:colOff>
      <xdr:row>18</xdr:row>
      <xdr:rowOff>37446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361950</xdr:colOff>
      <xdr:row>19</xdr:row>
      <xdr:rowOff>57150</xdr:rowOff>
    </xdr:from>
    <xdr:to>
      <xdr:col>6</xdr:col>
      <xdr:colOff>542925</xdr:colOff>
      <xdr:row>34</xdr:row>
      <xdr:rowOff>104121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79998168889431442"/>
  </sheetPr>
  <dimension ref="D2:CG48"/>
  <sheetViews>
    <sheetView showGridLines="0" showRowColHeaders="0" tabSelected="1" workbookViewId="0">
      <selection activeCell="D30" sqref="D30:CG30"/>
    </sheetView>
  </sheetViews>
  <sheetFormatPr defaultRowHeight="15" x14ac:dyDescent="0.25"/>
  <cols>
    <col min="1" max="96" width="3.28515625" customWidth="1"/>
  </cols>
  <sheetData>
    <row r="2" spans="5:79" ht="15.75" x14ac:dyDescent="0.25">
      <c r="AD2" s="150" t="s">
        <v>38</v>
      </c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</row>
    <row r="7" spans="5:79" ht="32.25" thickBot="1" x14ac:dyDescent="0.55000000000000004">
      <c r="E7" s="113" t="s">
        <v>14</v>
      </c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AC7" s="113" t="s">
        <v>16</v>
      </c>
      <c r="AD7" s="113"/>
      <c r="AE7" s="113"/>
      <c r="AF7" s="113"/>
      <c r="AG7" s="113"/>
      <c r="AH7" s="113"/>
      <c r="AI7" s="113"/>
      <c r="AJ7" s="113"/>
      <c r="AK7" s="113"/>
      <c r="AL7" s="113"/>
      <c r="AM7" s="113"/>
      <c r="AN7" s="113"/>
      <c r="AO7" s="113"/>
      <c r="AP7" s="113"/>
      <c r="AQ7" s="113"/>
      <c r="AR7" s="113"/>
      <c r="AS7" s="113"/>
      <c r="AT7" s="113"/>
      <c r="AU7" s="113"/>
      <c r="AV7" s="113"/>
      <c r="BA7" s="113" t="s">
        <v>15</v>
      </c>
      <c r="BB7" s="113"/>
      <c r="BC7" s="113"/>
      <c r="BD7" s="113"/>
      <c r="BE7" s="113"/>
      <c r="BF7" s="113"/>
      <c r="BG7" s="113"/>
      <c r="BH7" s="113"/>
      <c r="BI7" s="113"/>
      <c r="BJ7" s="113"/>
      <c r="BK7" s="113"/>
      <c r="BL7" s="113"/>
      <c r="BM7" s="113"/>
      <c r="BN7" s="113"/>
      <c r="BO7" s="113"/>
      <c r="BP7" s="113"/>
      <c r="BQ7" s="113"/>
      <c r="BR7" s="113"/>
      <c r="BS7" s="113"/>
      <c r="BT7" s="113"/>
      <c r="BX7" s="13"/>
      <c r="BY7" s="13"/>
      <c r="BZ7" s="13"/>
      <c r="CA7" s="13"/>
    </row>
    <row r="8" spans="5:79" ht="15.75" thickBot="1" x14ac:dyDescent="0.3">
      <c r="BX8" s="13"/>
      <c r="BY8" s="13"/>
      <c r="BZ8" s="13"/>
      <c r="CA8" s="13"/>
    </row>
    <row r="9" spans="5:79" x14ac:dyDescent="0.25">
      <c r="E9" s="99">
        <v>10.398578371992199</v>
      </c>
      <c r="F9" s="100">
        <v>23.4875040303886</v>
      </c>
      <c r="G9" s="100">
        <v>44.801029326872801</v>
      </c>
      <c r="H9" s="100">
        <v>63.2717047871148</v>
      </c>
      <c r="I9" s="100">
        <v>44.126670794263205</v>
      </c>
      <c r="J9" s="100">
        <v>35.149037462425397</v>
      </c>
      <c r="K9" s="100">
        <v>46.5299418846366</v>
      </c>
      <c r="L9" s="100">
        <v>62.688435311888</v>
      </c>
      <c r="M9" s="100">
        <v>50.451786740843801</v>
      </c>
      <c r="N9" s="100">
        <v>28.989355526642402</v>
      </c>
      <c r="O9" s="100">
        <v>24.730007806541401</v>
      </c>
      <c r="P9" s="100">
        <v>22.760650126370201</v>
      </c>
      <c r="Q9" s="100">
        <v>43.271317271599003</v>
      </c>
      <c r="R9" s="100">
        <v>17.261649602943141</v>
      </c>
      <c r="S9" s="100">
        <v>31.553227630969001</v>
      </c>
      <c r="T9" s="100">
        <v>8.310487744328281</v>
      </c>
      <c r="U9" s="100">
        <v>17.937176365023099</v>
      </c>
      <c r="V9" s="100">
        <v>3.9797013175407798</v>
      </c>
      <c r="W9" s="100">
        <v>4.1699400900294599</v>
      </c>
      <c r="X9" s="3">
        <v>2.3361110861859999</v>
      </c>
      <c r="Y9" s="79"/>
      <c r="AC9" s="99">
        <f>((($AC$22/$E$22)*E9) + (((100-$AC$22)/$BA$22)*BA9))</f>
        <v>17.788217187711897</v>
      </c>
      <c r="AD9" s="100">
        <f t="shared" ref="AD9:AV9" si="0">((($AC$22/$E$22)*F9) + (((100-$AC$22)/$BA$22)*BB9))</f>
        <v>40.495505645974795</v>
      </c>
      <c r="AE9" s="100">
        <f t="shared" si="0"/>
        <v>60.211568878677994</v>
      </c>
      <c r="AF9" s="100">
        <f t="shared" si="0"/>
        <v>69.036539547291596</v>
      </c>
      <c r="AG9" s="100">
        <f t="shared" si="0"/>
        <v>56.668414909530895</v>
      </c>
      <c r="AH9" s="100">
        <f t="shared" si="0"/>
        <v>50.45304095958484</v>
      </c>
      <c r="AI9" s="100">
        <f t="shared" si="0"/>
        <v>70.270326509289916</v>
      </c>
      <c r="AJ9" s="100">
        <f t="shared" si="0"/>
        <v>80.392669137667681</v>
      </c>
      <c r="AK9" s="100">
        <f t="shared" si="0"/>
        <v>74.381558796796043</v>
      </c>
      <c r="AL9" s="100">
        <f t="shared" si="0"/>
        <v>54.953034601980974</v>
      </c>
      <c r="AM9" s="100">
        <f t="shared" si="0"/>
        <v>39.417610961732535</v>
      </c>
      <c r="AN9" s="100">
        <f t="shared" si="0"/>
        <v>44.026963336531345</v>
      </c>
      <c r="AO9" s="100">
        <f t="shared" si="0"/>
        <v>72.587482116621857</v>
      </c>
      <c r="AP9" s="100">
        <f t="shared" si="0"/>
        <v>41.739357185241488</v>
      </c>
      <c r="AQ9" s="100">
        <f t="shared" si="0"/>
        <v>47.031442295121181</v>
      </c>
      <c r="AR9" s="100">
        <f t="shared" si="0"/>
        <v>23.841672162824306</v>
      </c>
      <c r="AS9" s="100">
        <f t="shared" si="0"/>
        <v>48.960480446289537</v>
      </c>
      <c r="AT9" s="100">
        <f t="shared" si="0"/>
        <v>23.893545704254581</v>
      </c>
      <c r="AU9" s="100">
        <f t="shared" si="0"/>
        <v>13.772897975692327</v>
      </c>
      <c r="AV9" s="3">
        <f t="shared" si="0"/>
        <v>6.9503321203000263</v>
      </c>
      <c r="AW9" s="2"/>
      <c r="BA9" s="99">
        <v>18.870529977712923</v>
      </c>
      <c r="BB9" s="100">
        <v>43.183314134817387</v>
      </c>
      <c r="BC9" s="100">
        <v>52.268228465246615</v>
      </c>
      <c r="BD9" s="100">
        <v>45.540122113767467</v>
      </c>
      <c r="BE9" s="100">
        <v>46.821070966960072</v>
      </c>
      <c r="BF9" s="100">
        <v>46.68716629144123</v>
      </c>
      <c r="BG9" s="100">
        <v>67.956580212894607</v>
      </c>
      <c r="BH9" s="100">
        <v>66.316224139164618</v>
      </c>
      <c r="BI9" s="100">
        <v>70.482524142916233</v>
      </c>
      <c r="BJ9" s="100">
        <v>62.085796512298849</v>
      </c>
      <c r="BK9" s="100">
        <v>39.776397571530005</v>
      </c>
      <c r="BL9" s="100">
        <v>50.303450167063303</v>
      </c>
      <c r="BM9" s="100">
        <v>75.990689883912623</v>
      </c>
      <c r="BN9" s="100">
        <v>52.906941878801156</v>
      </c>
      <c r="BO9" s="100">
        <v>44.986017962632772</v>
      </c>
      <c r="BP9" s="100">
        <v>32.093437897327689</v>
      </c>
      <c r="BQ9" s="100">
        <v>64.853220474018613</v>
      </c>
      <c r="BR9" s="100">
        <v>37.419758560906388</v>
      </c>
      <c r="BS9" s="100">
        <v>19.302335193638154</v>
      </c>
      <c r="BT9" s="3">
        <v>9.4605210764387699</v>
      </c>
      <c r="BU9" s="2"/>
      <c r="BV9" s="2"/>
      <c r="BW9" s="2"/>
      <c r="BX9" s="13"/>
      <c r="BY9" s="13"/>
      <c r="BZ9" s="13"/>
      <c r="CA9" s="13"/>
    </row>
    <row r="10" spans="5:79" x14ac:dyDescent="0.25">
      <c r="E10" s="101">
        <v>5.0925157102905603</v>
      </c>
      <c r="F10" s="4">
        <v>7.8807174839606997</v>
      </c>
      <c r="G10" s="4">
        <v>19.21823500381354</v>
      </c>
      <c r="H10" s="4">
        <v>37.559396054855199</v>
      </c>
      <c r="I10" s="4">
        <v>28.467011111609601</v>
      </c>
      <c r="J10" s="4">
        <v>22.762849118399199</v>
      </c>
      <c r="K10" s="4">
        <v>33.965702184934202</v>
      </c>
      <c r="L10" s="4">
        <v>38.3924237067612</v>
      </c>
      <c r="M10" s="4">
        <v>34.946266947821798</v>
      </c>
      <c r="N10" s="4">
        <v>24.822578431812399</v>
      </c>
      <c r="O10" s="4">
        <v>21.805356543586601</v>
      </c>
      <c r="P10" s="4">
        <v>47.394869038539198</v>
      </c>
      <c r="Q10" s="4">
        <v>64.440169949302401</v>
      </c>
      <c r="R10" s="4">
        <v>30.449161110861798</v>
      </c>
      <c r="S10" s="4">
        <v>9.131817249166259</v>
      </c>
      <c r="T10" s="4">
        <v>10.105240970882519</v>
      </c>
      <c r="U10" s="4">
        <v>5.3724712040318803</v>
      </c>
      <c r="V10" s="4">
        <v>12.756941271479199</v>
      </c>
      <c r="W10" s="4">
        <v>20.346265691596802</v>
      </c>
      <c r="X10" s="5">
        <v>15.27052513197842</v>
      </c>
      <c r="Y10" s="79"/>
      <c r="AC10" s="101">
        <f t="shared" ref="AC10:AC18" si="1">((($AC$22/$E$22)*E10) + (((100-$AC$22)/$BA$22)*BA10))</f>
        <v>12.255405289499494</v>
      </c>
      <c r="AD10" s="4">
        <f t="shared" ref="AD10:AD18" si="2">((($AC$22/$E$22)*F10) + (((100-$AC$22)/$BA$22)*BB10))</f>
        <v>15.032110412101451</v>
      </c>
      <c r="AE10" s="4">
        <f t="shared" ref="AE10:AE18" si="3">((($AC$22/$E$22)*G10) + (((100-$AC$22)/$BA$22)*BC10))</f>
        <v>36.92502121674012</v>
      </c>
      <c r="AF10" s="4">
        <f t="shared" ref="AF10:AF18" si="4">((($AC$22/$E$22)*H10) + (((100-$AC$22)/$BA$22)*BD10))</f>
        <v>48.702023747829863</v>
      </c>
      <c r="AG10" s="4">
        <f t="shared" ref="AG10:AG18" si="5">((($AC$22/$E$22)*I10) + (((100-$AC$22)/$BA$22)*BE10))</f>
        <v>38.469266317853794</v>
      </c>
      <c r="AH10" s="4">
        <f t="shared" ref="AH10:AH18" si="6">((($AC$22/$E$22)*J10) + (((100-$AC$22)/$BA$22)*BF10))</f>
        <v>35.021996432231838</v>
      </c>
      <c r="AI10" s="4">
        <f t="shared" ref="AI10:AI18" si="7">((($AC$22/$E$22)*K10) + (((100-$AC$22)/$BA$22)*BG10))</f>
        <v>45.359555909981154</v>
      </c>
      <c r="AJ10" s="4">
        <f t="shared" ref="AJ10:AJ18" si="8">((($AC$22/$E$22)*L10) + (((100-$AC$22)/$BA$22)*BH10))</f>
        <v>52.112301900921004</v>
      </c>
      <c r="AK10" s="4">
        <f t="shared" ref="AK10:AK18" si="9">((($AC$22/$E$22)*M10) + (((100-$AC$22)/$BA$22)*BI10))</f>
        <v>51.014650101852766</v>
      </c>
      <c r="AL10" s="4">
        <f t="shared" ref="AL10:AL18" si="10">((($AC$22/$E$22)*N10) + (((100-$AC$22)/$BA$22)*BJ10))</f>
        <v>47.296878165425703</v>
      </c>
      <c r="AM10" s="4">
        <f t="shared" ref="AM10:AM18" si="11">((($AC$22/$E$22)*O10) + (((100-$AC$22)/$BA$22)*BK10))</f>
        <v>46.642655131582131</v>
      </c>
      <c r="AN10" s="4">
        <f t="shared" ref="AN10:AN18" si="12">((($AC$22/$E$22)*P10) + (((100-$AC$22)/$BA$22)*BL10))</f>
        <v>60.625771284338015</v>
      </c>
      <c r="AO10" s="4">
        <f t="shared" ref="AO10:AO18" si="13">((($AC$22/$E$22)*Q10) + (((100-$AC$22)/$BA$22)*BM10))</f>
        <v>84.059077055036695</v>
      </c>
      <c r="AP10" s="4">
        <f t="shared" ref="AP10:AP18" si="14">((($AC$22/$E$22)*R10) + (((100-$AC$22)/$BA$22)*BN10))</f>
        <v>55.098882016920562</v>
      </c>
      <c r="AQ10" s="4">
        <f t="shared" ref="AQ10:AQ18" si="15">((($AC$22/$E$22)*S10) + (((100-$AC$22)/$BA$22)*BO10))</f>
        <v>24.962597112117507</v>
      </c>
      <c r="AR10" s="4">
        <f t="shared" ref="AR10:AR18" si="16">((($AC$22/$E$22)*T10) + (((100-$AC$22)/$BA$22)*BP10))</f>
        <v>26.034572913815225</v>
      </c>
      <c r="AS10" s="4">
        <f t="shared" ref="AS10:AS18" si="17">((($AC$22/$E$22)*U10) + (((100-$AC$22)/$BA$22)*BQ10))</f>
        <v>17.696787804327165</v>
      </c>
      <c r="AT10" s="4">
        <f t="shared" ref="AT10:AT18" si="18">((($AC$22/$E$22)*V10) + (((100-$AC$22)/$BA$22)*BR10))</f>
        <v>25.497039238299635</v>
      </c>
      <c r="AU10" s="4">
        <f t="shared" ref="AU10:AU18" si="19">((($AC$22/$E$22)*W10) + (((100-$AC$22)/$BA$22)*BS10))</f>
        <v>33.133009696714979</v>
      </c>
      <c r="AV10" s="5">
        <f t="shared" ref="AV10:AV18" si="20">((($AC$22/$E$22)*X10) + (((100-$AC$22)/$BA$22)*BT10))</f>
        <v>29.61328404956345</v>
      </c>
      <c r="AW10" s="2"/>
      <c r="BA10" s="101">
        <v>15.505160723057923</v>
      </c>
      <c r="BB10" s="4">
        <v>17.042667331766307</v>
      </c>
      <c r="BC10" s="4">
        <v>42.033034154656463</v>
      </c>
      <c r="BD10" s="4">
        <v>40.678965885889006</v>
      </c>
      <c r="BE10" s="4">
        <v>33.583339819674464</v>
      </c>
      <c r="BF10" s="4">
        <v>34.385192855001996</v>
      </c>
      <c r="BG10" s="4">
        <v>39.115117750184922</v>
      </c>
      <c r="BH10" s="4">
        <v>45.69949143719915</v>
      </c>
      <c r="BI10" s="4">
        <v>47.924857560146386</v>
      </c>
      <c r="BJ10" s="4">
        <v>53.590517223016306</v>
      </c>
      <c r="BK10" s="4">
        <v>56.081155005707615</v>
      </c>
      <c r="BL10" s="4">
        <v>49.865115990815688</v>
      </c>
      <c r="BM10" s="4">
        <v>70.67899507616599</v>
      </c>
      <c r="BN10" s="4">
        <v>60.57909822593308</v>
      </c>
      <c r="BO10" s="4">
        <v>33.081844037644387</v>
      </c>
      <c r="BP10" s="4">
        <v>33.79989939305262</v>
      </c>
      <c r="BQ10" s="4">
        <v>24.784010372423001</v>
      </c>
      <c r="BR10" s="4">
        <v>29.644728909589922</v>
      </c>
      <c r="BS10" s="4">
        <v>33.967484982598542</v>
      </c>
      <c r="BT10" s="5">
        <v>33.88170254095715</v>
      </c>
      <c r="BU10" s="2"/>
      <c r="BV10" s="2"/>
      <c r="BW10" s="2"/>
      <c r="BX10" s="13"/>
      <c r="BY10" s="13"/>
      <c r="BZ10" s="13"/>
      <c r="CA10" s="13"/>
    </row>
    <row r="11" spans="5:79" x14ac:dyDescent="0.25">
      <c r="E11" s="101">
        <v>34.109319395217398</v>
      </c>
      <c r="F11" s="4">
        <v>46.179949810818599</v>
      </c>
      <c r="G11" s="4">
        <v>26.517878774283201</v>
      </c>
      <c r="H11" s="4">
        <v>43.291023015837403</v>
      </c>
      <c r="I11" s="4">
        <v>34.174653805315003</v>
      </c>
      <c r="J11" s="4">
        <v>16.722413447589979</v>
      </c>
      <c r="K11" s="4">
        <v>16.599695574797742</v>
      </c>
      <c r="L11" s="4">
        <v>18.425942662299782</v>
      </c>
      <c r="M11" s="4">
        <v>13.106237396623161</v>
      </c>
      <c r="N11" s="4">
        <v>12.3317543780938</v>
      </c>
      <c r="O11" s="4">
        <v>43.998016301015596</v>
      </c>
      <c r="P11" s="4">
        <v>34.790017258139201</v>
      </c>
      <c r="Q11" s="4">
        <v>36.908509548805803</v>
      </c>
      <c r="R11" s="4">
        <v>16.46669478217952</v>
      </c>
      <c r="S11" s="4">
        <v>48.201366055004797</v>
      </c>
      <c r="T11" s="4">
        <v>36.377774687065404</v>
      </c>
      <c r="U11" s="4">
        <v>35.918407824487403</v>
      </c>
      <c r="V11" s="4">
        <v>17.409985673052482</v>
      </c>
      <c r="W11" s="4">
        <v>6.4206760285342597</v>
      </c>
      <c r="X11" s="5">
        <v>12.72869319694318</v>
      </c>
      <c r="Y11" s="79"/>
      <c r="AC11" s="101">
        <f t="shared" si="1"/>
        <v>44.670416445078402</v>
      </c>
      <c r="AD11" s="4">
        <f t="shared" si="2"/>
        <v>54.257377607595124</v>
      </c>
      <c r="AE11" s="4">
        <f t="shared" si="3"/>
        <v>41.13828582324436</v>
      </c>
      <c r="AF11" s="4">
        <f t="shared" si="4"/>
        <v>52.275822993893406</v>
      </c>
      <c r="AG11" s="4">
        <f t="shared" si="5"/>
        <v>40.950768960997834</v>
      </c>
      <c r="AH11" s="4">
        <f t="shared" si="6"/>
        <v>26.851833994751555</v>
      </c>
      <c r="AI11" s="4">
        <f t="shared" si="7"/>
        <v>27.240169718656375</v>
      </c>
      <c r="AJ11" s="4">
        <f t="shared" si="8"/>
        <v>31.188300540915122</v>
      </c>
      <c r="AK11" s="4">
        <f t="shared" si="9"/>
        <v>31.762205705744318</v>
      </c>
      <c r="AL11" s="4">
        <f t="shared" si="10"/>
        <v>33.486691416108009</v>
      </c>
      <c r="AM11" s="4">
        <f t="shared" si="11"/>
        <v>68.600400242681417</v>
      </c>
      <c r="AN11" s="4">
        <f t="shared" si="12"/>
        <v>54.511385661631039</v>
      </c>
      <c r="AO11" s="4">
        <f t="shared" si="13"/>
        <v>63.129753654529253</v>
      </c>
      <c r="AP11" s="4">
        <f t="shared" si="14"/>
        <v>41.54579547514119</v>
      </c>
      <c r="AQ11" s="4">
        <f t="shared" si="15"/>
        <v>64.879594932569674</v>
      </c>
      <c r="AR11" s="4">
        <f t="shared" si="16"/>
        <v>53.063288183987893</v>
      </c>
      <c r="AS11" s="4">
        <f t="shared" si="17"/>
        <v>51.941013270397278</v>
      </c>
      <c r="AT11" s="4">
        <f t="shared" si="18"/>
        <v>33.092038078133001</v>
      </c>
      <c r="AU11" s="4">
        <f t="shared" si="19"/>
        <v>20.241625558415993</v>
      </c>
      <c r="AV11" s="5">
        <f t="shared" si="20"/>
        <v>30.22844786247768</v>
      </c>
      <c r="AW11" s="2"/>
      <c r="BA11" s="101">
        <v>37.723525086018768</v>
      </c>
      <c r="BB11" s="4">
        <v>40.077938312047841</v>
      </c>
      <c r="BC11" s="4">
        <v>40.656554059864916</v>
      </c>
      <c r="BD11" s="4">
        <v>40.067546934299997</v>
      </c>
      <c r="BE11" s="4">
        <v>31.070358935508846</v>
      </c>
      <c r="BF11" s="4">
        <v>27.246145028676384</v>
      </c>
      <c r="BG11" s="4">
        <v>28.080828673794617</v>
      </c>
      <c r="BH11" s="4">
        <v>32.851460100047696</v>
      </c>
      <c r="BI11" s="4">
        <v>40.295742236720841</v>
      </c>
      <c r="BJ11" s="4">
        <v>44.279761162075459</v>
      </c>
      <c r="BK11" s="4">
        <v>68.065459691850307</v>
      </c>
      <c r="BL11" s="4">
        <v>54.293933353679151</v>
      </c>
      <c r="BM11" s="4">
        <v>66.965618614480306</v>
      </c>
      <c r="BN11" s="4">
        <v>53.525701092584846</v>
      </c>
      <c r="BO11" s="4">
        <v>56.408612221244539</v>
      </c>
      <c r="BP11" s="4">
        <v>49.815401884247308</v>
      </c>
      <c r="BQ11" s="4">
        <v>48.387104155820687</v>
      </c>
      <c r="BR11" s="4">
        <v>37.444163611541541</v>
      </c>
      <c r="BS11" s="4">
        <v>28.014849864552538</v>
      </c>
      <c r="BT11" s="5">
        <v>38.04128012032254</v>
      </c>
      <c r="BU11" s="2"/>
      <c r="BV11" s="2"/>
      <c r="BW11" s="2"/>
      <c r="BX11" s="13"/>
      <c r="BY11" s="13"/>
      <c r="BZ11" s="13"/>
      <c r="CA11" s="13"/>
    </row>
    <row r="12" spans="5:79" x14ac:dyDescent="0.25">
      <c r="E12" s="101">
        <v>18.284868769348119</v>
      </c>
      <c r="F12" s="4">
        <v>37.053371020084597</v>
      </c>
      <c r="G12" s="4">
        <v>30.539791945204797</v>
      </c>
      <c r="H12" s="4">
        <v>22.226703874856</v>
      </c>
      <c r="I12" s="4">
        <v>22.856128553696202</v>
      </c>
      <c r="J12" s="4">
        <v>12.7495637608985</v>
      </c>
      <c r="K12" s="4">
        <v>16.041638655839201</v>
      </c>
      <c r="L12" s="4">
        <v>12.669903180941279</v>
      </c>
      <c r="M12" s="4">
        <v>30.292191843510199</v>
      </c>
      <c r="N12" s="4">
        <v>15.0436554952368</v>
      </c>
      <c r="O12" s="4">
        <v>30.695703590710004</v>
      </c>
      <c r="P12" s="4">
        <v>65.268490645609802</v>
      </c>
      <c r="Q12" s="4">
        <v>56.262203478546802</v>
      </c>
      <c r="R12" s="4">
        <v>58.376788670046402</v>
      </c>
      <c r="S12" s="4">
        <v>48.483013025857204</v>
      </c>
      <c r="T12" s="4">
        <v>42.387219106584595</v>
      </c>
      <c r="U12" s="4">
        <v>29.556766237456401</v>
      </c>
      <c r="V12" s="4">
        <v>28.440806137556599</v>
      </c>
      <c r="W12" s="4">
        <v>34.927952801830401</v>
      </c>
      <c r="X12" s="5">
        <v>38.075557569503601</v>
      </c>
      <c r="Y12" s="79"/>
      <c r="AC12" s="101">
        <f t="shared" si="1"/>
        <v>28.540703584797107</v>
      </c>
      <c r="AD12" s="4">
        <f t="shared" si="2"/>
        <v>46.561081635854364</v>
      </c>
      <c r="AE12" s="4">
        <f t="shared" si="3"/>
        <v>42.228554527748024</v>
      </c>
      <c r="AF12" s="4">
        <f t="shared" si="4"/>
        <v>37.243937049581959</v>
      </c>
      <c r="AG12" s="4">
        <f t="shared" si="5"/>
        <v>40.016358773552469</v>
      </c>
      <c r="AH12" s="4">
        <f t="shared" si="6"/>
        <v>33.812264251553358</v>
      </c>
      <c r="AI12" s="4">
        <f t="shared" si="7"/>
        <v>38.793204608898634</v>
      </c>
      <c r="AJ12" s="4">
        <f t="shared" si="8"/>
        <v>37.116276852327132</v>
      </c>
      <c r="AK12" s="4">
        <f t="shared" si="9"/>
        <v>57.737050965932454</v>
      </c>
      <c r="AL12" s="4">
        <f t="shared" si="10"/>
        <v>42.096393210910612</v>
      </c>
      <c r="AM12" s="4">
        <f t="shared" si="11"/>
        <v>56.362662087795385</v>
      </c>
      <c r="AN12" s="4">
        <f t="shared" si="12"/>
        <v>78.731608365214299</v>
      </c>
      <c r="AO12" s="4">
        <f t="shared" si="13"/>
        <v>78.295405482982588</v>
      </c>
      <c r="AP12" s="4">
        <f t="shared" si="14"/>
        <v>80.731012199741755</v>
      </c>
      <c r="AQ12" s="4">
        <f t="shared" si="15"/>
        <v>75.692575368122064</v>
      </c>
      <c r="AR12" s="4">
        <f t="shared" si="16"/>
        <v>64.2471042687487</v>
      </c>
      <c r="AS12" s="4">
        <f t="shared" si="17"/>
        <v>52.477954527684048</v>
      </c>
      <c r="AT12" s="4">
        <f t="shared" si="18"/>
        <v>50.079204953638822</v>
      </c>
      <c r="AU12" s="4">
        <f t="shared" si="19"/>
        <v>52.062385541732411</v>
      </c>
      <c r="AV12" s="5">
        <f t="shared" si="20"/>
        <v>50.95201148464497</v>
      </c>
      <c r="AW12" s="2"/>
      <c r="BA12" s="101">
        <v>28.342548852299156</v>
      </c>
      <c r="BB12" s="4">
        <v>37.506646675921999</v>
      </c>
      <c r="BC12" s="4">
        <v>37.722219900412767</v>
      </c>
      <c r="BD12" s="4">
        <v>38.960346005742231</v>
      </c>
      <c r="BE12" s="4">
        <v>43.09960414991523</v>
      </c>
      <c r="BF12" s="4">
        <v>44.350178780463231</v>
      </c>
      <c r="BG12" s="4">
        <v>49.174471442848848</v>
      </c>
      <c r="BH12" s="4">
        <v>50.286057739678078</v>
      </c>
      <c r="BI12" s="4">
        <v>65.43159208880823</v>
      </c>
      <c r="BJ12" s="4">
        <v>56.218874056901925</v>
      </c>
      <c r="BK12" s="4">
        <v>62.51473728442523</v>
      </c>
      <c r="BL12" s="4">
        <v>60.261901851599383</v>
      </c>
      <c r="BM12" s="4">
        <v>70.376879873706841</v>
      </c>
      <c r="BN12" s="4">
        <v>72.125723728939306</v>
      </c>
      <c r="BO12" s="4">
        <v>75.17931129630901</v>
      </c>
      <c r="BP12" s="4">
        <v>62.318314329973923</v>
      </c>
      <c r="BQ12" s="4">
        <v>57.025447786605234</v>
      </c>
      <c r="BR12" s="4">
        <v>54.134704187302304</v>
      </c>
      <c r="BS12" s="4">
        <v>49.798787253824997</v>
      </c>
      <c r="BT12" s="5">
        <v>44.031763005945621</v>
      </c>
      <c r="BU12" s="2"/>
      <c r="BV12" s="2"/>
      <c r="BW12" s="2"/>
      <c r="BX12" s="13"/>
      <c r="BY12" s="13"/>
      <c r="BZ12" s="13"/>
      <c r="CA12" s="13"/>
    </row>
    <row r="13" spans="5:79" x14ac:dyDescent="0.25">
      <c r="E13" s="101">
        <v>14.519044969865561</v>
      </c>
      <c r="F13" s="4">
        <v>15.425992971121781</v>
      </c>
      <c r="G13" s="4">
        <v>13.11843952921472</v>
      </c>
      <c r="H13" s="4">
        <v>9.1158740185741998</v>
      </c>
      <c r="I13" s="4">
        <v>9.0682787024990006</v>
      </c>
      <c r="J13" s="4">
        <v>9.3832295751267587</v>
      </c>
      <c r="K13" s="4">
        <v>12.976016630026759</v>
      </c>
      <c r="L13" s="4">
        <v>44.7222189719892</v>
      </c>
      <c r="M13" s="4">
        <v>35.484629368747001</v>
      </c>
      <c r="N13" s="4">
        <v>45.9223589513512</v>
      </c>
      <c r="O13" s="4">
        <v>43.681779891426203</v>
      </c>
      <c r="P13" s="4">
        <v>65.225050443417601</v>
      </c>
      <c r="Q13" s="4">
        <v>63.922434324853803</v>
      </c>
      <c r="R13" s="4">
        <v>51.116541193712798</v>
      </c>
      <c r="S13" s="4">
        <v>47.143172985179397</v>
      </c>
      <c r="T13" s="4">
        <v>42.914999386842403</v>
      </c>
      <c r="U13" s="4">
        <v>35.5957629922084</v>
      </c>
      <c r="V13" s="4">
        <v>7.5226944232581205</v>
      </c>
      <c r="W13" s="4">
        <v>9.8401351937427997</v>
      </c>
      <c r="X13" s="5">
        <v>8.8760105881824991</v>
      </c>
      <c r="Y13" s="79"/>
      <c r="AC13" s="101">
        <f t="shared" si="1"/>
        <v>23.221326265504569</v>
      </c>
      <c r="AD13" s="4">
        <f t="shared" si="2"/>
        <v>26.190146591009459</v>
      </c>
      <c r="AE13" s="4">
        <f t="shared" si="3"/>
        <v>25.462203338236513</v>
      </c>
      <c r="AF13" s="4">
        <f t="shared" si="4"/>
        <v>25.256258107453117</v>
      </c>
      <c r="AG13" s="4">
        <f t="shared" si="5"/>
        <v>30.566211564100023</v>
      </c>
      <c r="AH13" s="4">
        <f t="shared" si="6"/>
        <v>35.726853340584796</v>
      </c>
      <c r="AI13" s="4">
        <f t="shared" si="7"/>
        <v>37.568943215564829</v>
      </c>
      <c r="AJ13" s="4">
        <f t="shared" si="8"/>
        <v>73.535383714894238</v>
      </c>
      <c r="AK13" s="4">
        <f t="shared" si="9"/>
        <v>57.603187942413442</v>
      </c>
      <c r="AL13" s="4">
        <f t="shared" si="10"/>
        <v>61.414295517919797</v>
      </c>
      <c r="AM13" s="4">
        <f t="shared" si="11"/>
        <v>61.94163465035124</v>
      </c>
      <c r="AN13" s="4">
        <f t="shared" si="12"/>
        <v>90.603064222077577</v>
      </c>
      <c r="AO13" s="4">
        <f t="shared" si="13"/>
        <v>92.715185156760612</v>
      </c>
      <c r="AP13" s="4">
        <f t="shared" si="14"/>
        <v>79.904226911196133</v>
      </c>
      <c r="AQ13" s="4">
        <f t="shared" si="15"/>
        <v>70.01327567547014</v>
      </c>
      <c r="AR13" s="4">
        <f t="shared" si="16"/>
        <v>69.223462383361024</v>
      </c>
      <c r="AS13" s="4">
        <f t="shared" si="17"/>
        <v>62.533678456624635</v>
      </c>
      <c r="AT13" s="4">
        <f t="shared" si="18"/>
        <v>32.807901387389229</v>
      </c>
      <c r="AU13" s="4">
        <f t="shared" si="19"/>
        <v>31.231564674577999</v>
      </c>
      <c r="AV13" s="5">
        <f t="shared" si="20"/>
        <v>22.236853533341971</v>
      </c>
      <c r="AW13" s="2"/>
      <c r="BA13" s="101">
        <v>23.492716512379385</v>
      </c>
      <c r="BB13" s="4">
        <v>27.64365086248754</v>
      </c>
      <c r="BC13" s="4">
        <v>29.146214760607311</v>
      </c>
      <c r="BD13" s="4">
        <v>33.620138327473306</v>
      </c>
      <c r="BE13" s="4">
        <v>43.062608950495004</v>
      </c>
      <c r="BF13" s="4">
        <v>51.802971484743388</v>
      </c>
      <c r="BG13" s="4">
        <v>50.71611087813023</v>
      </c>
      <c r="BH13" s="4">
        <v>75.912323992478619</v>
      </c>
      <c r="BI13" s="4">
        <v>58.918880230041616</v>
      </c>
      <c r="BJ13" s="4">
        <v>53.038601628461535</v>
      </c>
      <c r="BK13" s="4">
        <v>56.678830212679763</v>
      </c>
      <c r="BL13" s="4">
        <v>81.29631045637538</v>
      </c>
      <c r="BM13" s="4">
        <v>86.603801880218469</v>
      </c>
      <c r="BN13" s="4">
        <v>79.439931983240001</v>
      </c>
      <c r="BO13" s="4">
        <v>66.761047490952237</v>
      </c>
      <c r="BP13" s="4">
        <v>70.475721682253067</v>
      </c>
      <c r="BQ13" s="4">
        <v>67.498822465640146</v>
      </c>
      <c r="BR13" s="4">
        <v>48.892780149896538</v>
      </c>
      <c r="BS13" s="4">
        <v>43.305624469024615</v>
      </c>
      <c r="BT13" s="5">
        <v>28.57349246712246</v>
      </c>
      <c r="BU13" s="2"/>
      <c r="BV13" s="2"/>
      <c r="BW13" s="2"/>
      <c r="BX13" s="13"/>
      <c r="BY13" s="13"/>
      <c r="BZ13" s="13"/>
      <c r="CA13" s="13"/>
    </row>
    <row r="14" spans="5:79" x14ac:dyDescent="0.25">
      <c r="E14" s="101">
        <v>7.7185389504538806</v>
      </c>
      <c r="F14" s="4">
        <v>11.806111833939021</v>
      </c>
      <c r="G14" s="4">
        <v>8.8076073997637199</v>
      </c>
      <c r="H14" s="4">
        <v>15.50384542449938</v>
      </c>
      <c r="I14" s="4">
        <v>10.537821287032481</v>
      </c>
      <c r="J14" s="4">
        <v>9.0160327814916208</v>
      </c>
      <c r="K14" s="4">
        <v>33.380519120044198</v>
      </c>
      <c r="L14" s="4">
        <v>43.367074042502203</v>
      </c>
      <c r="M14" s="4">
        <v>30.358557195627203</v>
      </c>
      <c r="N14" s="4">
        <v>17.33462347645326</v>
      </c>
      <c r="O14" s="4">
        <v>74.574638969895204</v>
      </c>
      <c r="P14" s="4">
        <v>55.2744698580766</v>
      </c>
      <c r="Q14" s="4">
        <v>49.417887268757404</v>
      </c>
      <c r="R14" s="4">
        <v>38.5638526029282</v>
      </c>
      <c r="S14" s="4">
        <v>36.220997023942999</v>
      </c>
      <c r="T14" s="4">
        <v>20.928306818011798</v>
      </c>
      <c r="U14" s="4">
        <v>6.8609984596288003</v>
      </c>
      <c r="V14" s="4">
        <v>6.3340019441578201</v>
      </c>
      <c r="W14" s="4">
        <v>7.2847134760046002</v>
      </c>
      <c r="X14" s="5">
        <v>9.757043923011361</v>
      </c>
      <c r="Y14" s="79"/>
      <c r="AC14" s="101">
        <f t="shared" si="1"/>
        <v>18.265488060134619</v>
      </c>
      <c r="AD14" s="4">
        <f t="shared" si="2"/>
        <v>26.464126434922846</v>
      </c>
      <c r="AE14" s="4">
        <f t="shared" si="3"/>
        <v>25.77101739504587</v>
      </c>
      <c r="AF14" s="4">
        <f t="shared" si="4"/>
        <v>34.460904406363447</v>
      </c>
      <c r="AG14" s="4">
        <f t="shared" si="5"/>
        <v>35.108836737473396</v>
      </c>
      <c r="AH14" s="4">
        <f t="shared" si="6"/>
        <v>38.757045608774774</v>
      </c>
      <c r="AI14" s="4">
        <f t="shared" si="7"/>
        <v>58.162325185711168</v>
      </c>
      <c r="AJ14" s="4">
        <f t="shared" si="8"/>
        <v>69.551515075908043</v>
      </c>
      <c r="AK14" s="4">
        <f t="shared" si="9"/>
        <v>54.649583134851085</v>
      </c>
      <c r="AL14" s="4">
        <f t="shared" si="10"/>
        <v>41.753232774992966</v>
      </c>
      <c r="AM14" s="4">
        <f t="shared" si="11"/>
        <v>97.202058182245992</v>
      </c>
      <c r="AN14" s="4">
        <f t="shared" si="12"/>
        <v>81.928464203125074</v>
      </c>
      <c r="AO14" s="4">
        <f t="shared" si="13"/>
        <v>71.184301743824065</v>
      </c>
      <c r="AP14" s="4">
        <f t="shared" si="14"/>
        <v>62.637320225868791</v>
      </c>
      <c r="AQ14" s="4">
        <f t="shared" si="15"/>
        <v>58.806327503876943</v>
      </c>
      <c r="AR14" s="4">
        <f t="shared" si="16"/>
        <v>46.426084088517925</v>
      </c>
      <c r="AS14" s="4">
        <f t="shared" si="17"/>
        <v>30.966148915826309</v>
      </c>
      <c r="AT14" s="4">
        <f t="shared" si="18"/>
        <v>31.419374491032169</v>
      </c>
      <c r="AU14" s="4">
        <f t="shared" si="19"/>
        <v>24.457144023048638</v>
      </c>
      <c r="AV14" s="5">
        <f t="shared" si="20"/>
        <v>21.691709784686125</v>
      </c>
      <c r="AW14" s="2"/>
      <c r="BA14" s="101">
        <v>22.953444108567382</v>
      </c>
      <c r="BB14" s="4">
        <v>32.503253714318149</v>
      </c>
      <c r="BC14" s="4">
        <v>34.902539557947463</v>
      </c>
      <c r="BD14" s="4">
        <v>42.167490534149387</v>
      </c>
      <c r="BE14" s="4">
        <v>49.315114369820463</v>
      </c>
      <c r="BF14" s="4">
        <v>57.60243979146238</v>
      </c>
      <c r="BG14" s="4">
        <v>62.450359202031692</v>
      </c>
      <c r="BH14" s="4">
        <v>70.509105694743624</v>
      </c>
      <c r="BI14" s="4">
        <v>59.894509659661466</v>
      </c>
      <c r="BJ14" s="4">
        <v>52.843262136859003</v>
      </c>
      <c r="BK14" s="4">
        <v>81.658650883133845</v>
      </c>
      <c r="BL14" s="4">
        <v>77.991914367350773</v>
      </c>
      <c r="BM14" s="4">
        <v>66.081291845190762</v>
      </c>
      <c r="BN14" s="4">
        <v>64.09446022261254</v>
      </c>
      <c r="BO14" s="4">
        <v>60.155288204628384</v>
      </c>
      <c r="BP14" s="4">
        <v>56.758475385014236</v>
      </c>
      <c r="BQ14" s="4">
        <v>46.437416095214537</v>
      </c>
      <c r="BR14" s="4">
        <v>47.875440794568313</v>
      </c>
      <c r="BS14" s="4">
        <v>34.421095235220079</v>
      </c>
      <c r="BT14" s="5">
        <v>26.545083677742152</v>
      </c>
      <c r="BU14" s="2"/>
      <c r="BV14" s="2"/>
      <c r="BW14" s="2"/>
      <c r="BX14" s="13"/>
      <c r="BY14" s="13"/>
      <c r="BZ14" s="13"/>
      <c r="CA14" s="13"/>
    </row>
    <row r="15" spans="5:79" x14ac:dyDescent="0.25">
      <c r="E15" s="101">
        <v>7.3828013818475595</v>
      </c>
      <c r="F15" s="4">
        <v>12.8864197287152</v>
      </c>
      <c r="G15" s="4">
        <v>17.099838844272981</v>
      </c>
      <c r="H15" s="4">
        <v>18.675266304754221</v>
      </c>
      <c r="I15" s="4">
        <v>28.631683969671002</v>
      </c>
      <c r="J15" s="4">
        <v>23.5402071574918</v>
      </c>
      <c r="K15" s="4">
        <v>28.877291578805803</v>
      </c>
      <c r="L15" s="4">
        <v>19.80012897243784</v>
      </c>
      <c r="M15" s="4">
        <v>20.7238585849522</v>
      </c>
      <c r="N15" s="4">
        <v>13.083221200293142</v>
      </c>
      <c r="O15" s="4">
        <v>47.207972841611003</v>
      </c>
      <c r="P15" s="4">
        <v>46.811617928125997</v>
      </c>
      <c r="Q15" s="4">
        <v>73.882522739168806</v>
      </c>
      <c r="R15" s="4">
        <v>30.266180029012798</v>
      </c>
      <c r="S15" s="4">
        <v>35.628536288453198</v>
      </c>
      <c r="T15" s="4">
        <v>30.858943694199002</v>
      </c>
      <c r="U15" s="4">
        <v>8.3294574603317209</v>
      </c>
      <c r="V15" s="4">
        <v>29.526668042532201</v>
      </c>
      <c r="W15" s="4">
        <v>46.051669134251604</v>
      </c>
      <c r="X15" s="5">
        <v>37.415497091240795</v>
      </c>
      <c r="Y15" s="79"/>
      <c r="AC15" s="101">
        <f t="shared" si="1"/>
        <v>21.483519153696754</v>
      </c>
      <c r="AD15" s="4">
        <f t="shared" si="2"/>
        <v>28.207221996383183</v>
      </c>
      <c r="AE15" s="4">
        <f t="shared" si="3"/>
        <v>37.276155356683077</v>
      </c>
      <c r="AF15" s="4">
        <f t="shared" si="4"/>
        <v>42.612622549634892</v>
      </c>
      <c r="AG15" s="4">
        <f t="shared" si="5"/>
        <v>56.076609241470081</v>
      </c>
      <c r="AH15" s="4">
        <f t="shared" si="6"/>
        <v>56.759351656689873</v>
      </c>
      <c r="AI15" s="4">
        <f t="shared" si="7"/>
        <v>53.747531773526504</v>
      </c>
      <c r="AJ15" s="4">
        <f t="shared" si="8"/>
        <v>48.748247385521644</v>
      </c>
      <c r="AK15" s="4">
        <f t="shared" si="9"/>
        <v>45.355802648160463</v>
      </c>
      <c r="AL15" s="4">
        <f t="shared" si="10"/>
        <v>36.088760451126504</v>
      </c>
      <c r="AM15" s="4">
        <f t="shared" si="11"/>
        <v>68.103295116091658</v>
      </c>
      <c r="AN15" s="4">
        <f t="shared" si="12"/>
        <v>65.419664457537181</v>
      </c>
      <c r="AO15" s="4">
        <f t="shared" si="13"/>
        <v>95.758323205860691</v>
      </c>
      <c r="AP15" s="4">
        <f t="shared" si="14"/>
        <v>58.069270800549802</v>
      </c>
      <c r="AQ15" s="4">
        <f t="shared" si="15"/>
        <v>57.114257905194549</v>
      </c>
      <c r="AR15" s="4">
        <f t="shared" si="16"/>
        <v>45.941262277644668</v>
      </c>
      <c r="AS15" s="4">
        <f t="shared" si="17"/>
        <v>30.866246648117883</v>
      </c>
      <c r="AT15" s="4">
        <f t="shared" si="18"/>
        <v>46.026988657085681</v>
      </c>
      <c r="AU15" s="4">
        <f t="shared" si="19"/>
        <v>61.813641583628169</v>
      </c>
      <c r="AV15" s="5">
        <f t="shared" si="20"/>
        <v>47.440649974876678</v>
      </c>
      <c r="AW15" s="2"/>
      <c r="BA15" s="101">
        <v>29.046878477150692</v>
      </c>
      <c r="BB15" s="4">
        <v>34.278271286281921</v>
      </c>
      <c r="BC15" s="4">
        <v>45.214150774832312</v>
      </c>
      <c r="BD15" s="4">
        <v>52.741728597099922</v>
      </c>
      <c r="BE15" s="4">
        <v>64.503948866280922</v>
      </c>
      <c r="BF15" s="4">
        <v>71.86473202548585</v>
      </c>
      <c r="BG15" s="4">
        <v>60.090613366254843</v>
      </c>
      <c r="BH15" s="4">
        <v>62.226356625203998</v>
      </c>
      <c r="BI15" s="4">
        <v>55.113951075406618</v>
      </c>
      <c r="BJ15" s="4">
        <v>47.970420980576769</v>
      </c>
      <c r="BK15" s="4">
        <v>63.306977168032304</v>
      </c>
      <c r="BL15" s="4">
        <v>59.042938215238536</v>
      </c>
      <c r="BM15" s="4">
        <v>79.943521805089233</v>
      </c>
      <c r="BN15" s="4">
        <v>66.050206152781456</v>
      </c>
      <c r="BO15" s="4">
        <v>57.880792446248307</v>
      </c>
      <c r="BP15" s="4">
        <v>43.898390705592611</v>
      </c>
      <c r="BQ15" s="4">
        <v>44.485914374394689</v>
      </c>
      <c r="BR15" s="4">
        <v>45.660232279692003</v>
      </c>
      <c r="BS15" s="4">
        <v>53.588117948291774</v>
      </c>
      <c r="BT15" s="5">
        <v>38.623514167280227</v>
      </c>
      <c r="BU15" s="2"/>
      <c r="BV15" s="2"/>
      <c r="BW15" s="2"/>
      <c r="BX15" s="13"/>
      <c r="BY15" s="13"/>
      <c r="BZ15" s="13"/>
      <c r="CA15" s="13"/>
    </row>
    <row r="16" spans="5:79" x14ac:dyDescent="0.25">
      <c r="E16" s="101">
        <v>32.985974905409201</v>
      </c>
      <c r="F16" s="4">
        <v>32.3138910972528</v>
      </c>
      <c r="G16" s="4">
        <v>27.669370182601398</v>
      </c>
      <c r="H16" s="4">
        <v>35.659354419968004</v>
      </c>
      <c r="I16" s="4">
        <v>44.9533704817024</v>
      </c>
      <c r="J16" s="4">
        <v>30.6011920977462</v>
      </c>
      <c r="K16" s="4">
        <v>20.092352460855199</v>
      </c>
      <c r="L16" s="4">
        <v>29.684812119580801</v>
      </c>
      <c r="M16" s="4">
        <v>34.232810444613804</v>
      </c>
      <c r="N16" s="4">
        <v>21.326184395890401</v>
      </c>
      <c r="O16" s="4">
        <v>24.630078454245002</v>
      </c>
      <c r="P16" s="4">
        <v>34.953462485231803</v>
      </c>
      <c r="Q16" s="4">
        <v>13.88372398941182</v>
      </c>
      <c r="R16" s="4">
        <v>13.667208159480779</v>
      </c>
      <c r="S16" s="4">
        <v>34.545057621846397</v>
      </c>
      <c r="T16" s="4">
        <v>47.919573780788802</v>
      </c>
      <c r="U16" s="4">
        <v>34.884130109022401</v>
      </c>
      <c r="V16" s="4">
        <v>40.142504972557603</v>
      </c>
      <c r="W16" s="4">
        <v>28.384911122078201</v>
      </c>
      <c r="X16" s="5">
        <v>27.992095353462798</v>
      </c>
      <c r="Y16" s="79"/>
      <c r="AC16" s="101">
        <f t="shared" si="1"/>
        <v>46.4621716515272</v>
      </c>
      <c r="AD16" s="4">
        <f t="shared" si="2"/>
        <v>45.387876806141207</v>
      </c>
      <c r="AE16" s="4">
        <f t="shared" si="3"/>
        <v>47.83168091496033</v>
      </c>
      <c r="AF16" s="4">
        <f t="shared" si="4"/>
        <v>60.868620954939978</v>
      </c>
      <c r="AG16" s="4">
        <f t="shared" si="5"/>
        <v>74.978176438067095</v>
      </c>
      <c r="AH16" s="4">
        <f t="shared" si="6"/>
        <v>57.390220816976999</v>
      </c>
      <c r="AI16" s="4">
        <f t="shared" si="7"/>
        <v>41.255788114872367</v>
      </c>
      <c r="AJ16" s="4">
        <f t="shared" si="8"/>
        <v>46.268229643375079</v>
      </c>
      <c r="AK16" s="4">
        <f t="shared" si="9"/>
        <v>53.095363002396269</v>
      </c>
      <c r="AL16" s="4">
        <f t="shared" si="10"/>
        <v>44.155219713667989</v>
      </c>
      <c r="AM16" s="4">
        <f t="shared" si="11"/>
        <v>47.657327579866475</v>
      </c>
      <c r="AN16" s="4">
        <f t="shared" si="12"/>
        <v>59.392857892262221</v>
      </c>
      <c r="AO16" s="4">
        <f t="shared" si="13"/>
        <v>35.06955514171446</v>
      </c>
      <c r="AP16" s="4">
        <f t="shared" si="14"/>
        <v>30.139970130915394</v>
      </c>
      <c r="AQ16" s="4">
        <f t="shared" si="15"/>
        <v>50.87040909447586</v>
      </c>
      <c r="AR16" s="4">
        <f t="shared" si="16"/>
        <v>59.85487490728444</v>
      </c>
      <c r="AS16" s="4">
        <f t="shared" si="17"/>
        <v>50.167771462226668</v>
      </c>
      <c r="AT16" s="4">
        <f t="shared" si="18"/>
        <v>59.599469827836614</v>
      </c>
      <c r="AU16" s="4">
        <f t="shared" si="19"/>
        <v>43.767754689136794</v>
      </c>
      <c r="AV16" s="5">
        <f t="shared" si="20"/>
        <v>37.453709789283224</v>
      </c>
      <c r="AW16" s="2"/>
      <c r="BA16" s="101">
        <v>42.24810796144962</v>
      </c>
      <c r="BB16" s="4">
        <v>41.161723166954999</v>
      </c>
      <c r="BC16" s="4">
        <v>51.094812658699077</v>
      </c>
      <c r="BD16" s="4">
        <v>64.47909579475315</v>
      </c>
      <c r="BE16" s="4">
        <v>78.18295752787769</v>
      </c>
      <c r="BF16" s="4">
        <v>64.445106189015007</v>
      </c>
      <c r="BG16" s="4">
        <v>48.630788687457922</v>
      </c>
      <c r="BH16" s="4">
        <v>45.895458166150618</v>
      </c>
      <c r="BI16" s="4">
        <v>52.46471817688515</v>
      </c>
      <c r="BJ16" s="4">
        <v>52.263977840815997</v>
      </c>
      <c r="BK16" s="4">
        <v>54.460259817339541</v>
      </c>
      <c r="BL16" s="4">
        <v>62.724010237453463</v>
      </c>
      <c r="BM16" s="4">
        <v>45.201481739014689</v>
      </c>
      <c r="BN16" s="4">
        <v>36.750515787790079</v>
      </c>
      <c r="BO16" s="4">
        <v>48.154865710336153</v>
      </c>
      <c r="BP16" s="4">
        <v>47.868402199438918</v>
      </c>
      <c r="BQ16" s="4">
        <v>46.503168514458238</v>
      </c>
      <c r="BR16" s="4">
        <v>56.81716576790469</v>
      </c>
      <c r="BS16" s="4">
        <v>43.047252700192381</v>
      </c>
      <c r="BT16" s="5">
        <v>32.362452791996695</v>
      </c>
      <c r="BU16" s="2"/>
      <c r="BV16" s="2"/>
      <c r="BW16" s="2"/>
      <c r="BX16" s="13"/>
      <c r="BY16" s="13"/>
      <c r="BZ16" s="13"/>
      <c r="CA16" s="13"/>
    </row>
    <row r="17" spans="4:85" x14ac:dyDescent="0.25">
      <c r="E17" s="101">
        <v>58.352291862951802</v>
      </c>
      <c r="F17" s="4">
        <v>41.312549448905997</v>
      </c>
      <c r="G17" s="4">
        <v>17.580834851271938</v>
      </c>
      <c r="H17" s="4">
        <v>16.55778216459538</v>
      </c>
      <c r="I17" s="4">
        <v>21.376149131858803</v>
      </c>
      <c r="J17" s="4">
        <v>15.798215203314061</v>
      </c>
      <c r="K17" s="4">
        <v>30.940810444613799</v>
      </c>
      <c r="L17" s="4">
        <v>18.530950513706323</v>
      </c>
      <c r="M17" s="4">
        <v>20.380940733096999</v>
      </c>
      <c r="N17" s="4">
        <v>41.552064964780996</v>
      </c>
      <c r="O17" s="4">
        <v>34.669885414330004</v>
      </c>
      <c r="P17" s="4">
        <v>35.939491408318005</v>
      </c>
      <c r="Q17" s="4">
        <v>14.95983058907982</v>
      </c>
      <c r="R17" s="4">
        <v>21.182984730883799</v>
      </c>
      <c r="S17" s="4">
        <v>36.517908445122401</v>
      </c>
      <c r="T17" s="4">
        <v>9.5159678765310201</v>
      </c>
      <c r="U17" s="4">
        <v>14.235481537978398</v>
      </c>
      <c r="V17" s="4">
        <v>17.781353552574501</v>
      </c>
      <c r="W17" s="4">
        <v>15.19280625719712</v>
      </c>
      <c r="X17" s="5">
        <v>18.336157028130479</v>
      </c>
      <c r="Y17" s="79"/>
      <c r="AC17" s="101">
        <f t="shared" si="1"/>
        <v>66.711535860930496</v>
      </c>
      <c r="AD17" s="4">
        <f t="shared" si="2"/>
        <v>51.317873634749759</v>
      </c>
      <c r="AE17" s="4">
        <f t="shared" si="3"/>
        <v>30.949086428497182</v>
      </c>
      <c r="AF17" s="4">
        <f t="shared" si="4"/>
        <v>30.179232209446852</v>
      </c>
      <c r="AG17" s="4">
        <f t="shared" si="5"/>
        <v>41.479089331709375</v>
      </c>
      <c r="AH17" s="4">
        <f t="shared" si="6"/>
        <v>36.024198832630184</v>
      </c>
      <c r="AI17" s="4">
        <f t="shared" si="7"/>
        <v>46.410464501705526</v>
      </c>
      <c r="AJ17" s="4">
        <f t="shared" si="8"/>
        <v>41.04032632083856</v>
      </c>
      <c r="AK17" s="4">
        <f t="shared" si="9"/>
        <v>41.960652089032507</v>
      </c>
      <c r="AL17" s="4">
        <f t="shared" si="10"/>
        <v>62.368473469686265</v>
      </c>
      <c r="AM17" s="4">
        <f t="shared" si="11"/>
        <v>55.485579976806818</v>
      </c>
      <c r="AN17" s="4">
        <f t="shared" si="12"/>
        <v>47.356276391926038</v>
      </c>
      <c r="AO17" s="4">
        <f t="shared" si="13"/>
        <v>31.612947385348299</v>
      </c>
      <c r="AP17" s="4">
        <f t="shared" si="14"/>
        <v>30.966038631782496</v>
      </c>
      <c r="AQ17" s="4">
        <f t="shared" si="15"/>
        <v>45.575049904436668</v>
      </c>
      <c r="AR17" s="4">
        <f t="shared" si="16"/>
        <v>24.484425604502523</v>
      </c>
      <c r="AS17" s="4">
        <f t="shared" si="17"/>
        <v>26.339959398803224</v>
      </c>
      <c r="AT17" s="4">
        <f t="shared" si="18"/>
        <v>29.293135397588991</v>
      </c>
      <c r="AU17" s="4">
        <f t="shared" si="19"/>
        <v>24.336318374856987</v>
      </c>
      <c r="AV17" s="5">
        <f t="shared" si="20"/>
        <v>26.498496824581302</v>
      </c>
      <c r="AW17" s="2"/>
      <c r="BA17" s="101">
        <v>47.376966759950079</v>
      </c>
      <c r="BB17" s="4">
        <v>40.765832296694924</v>
      </c>
      <c r="BC17" s="4">
        <v>33.450152249080844</v>
      </c>
      <c r="BD17" s="4">
        <v>33.326060708821693</v>
      </c>
      <c r="BE17" s="4">
        <v>47.473726795978379</v>
      </c>
      <c r="BF17" s="4">
        <v>44.57468957197792</v>
      </c>
      <c r="BG17" s="4">
        <v>44.628717571178768</v>
      </c>
      <c r="BH17" s="4">
        <v>50.13724872458662</v>
      </c>
      <c r="BI17" s="4">
        <v>49.527764817582387</v>
      </c>
      <c r="BJ17" s="4">
        <v>60.007430177137998</v>
      </c>
      <c r="BK17" s="4">
        <v>56.160952099939159</v>
      </c>
      <c r="BL17" s="4">
        <v>40.258443933317537</v>
      </c>
      <c r="BM17" s="4">
        <v>37.791494249299539</v>
      </c>
      <c r="BN17" s="4">
        <v>29.126181672244002</v>
      </c>
      <c r="BO17" s="4">
        <v>36.411125667645074</v>
      </c>
      <c r="BP17" s="4">
        <v>31.772387655980232</v>
      </c>
      <c r="BQ17" s="4">
        <v>29.34740940962854</v>
      </c>
      <c r="BR17" s="4">
        <v>30.281016059528536</v>
      </c>
      <c r="BS17" s="4">
        <v>24.649003073951999</v>
      </c>
      <c r="BT17" s="5">
        <v>24.671110218434691</v>
      </c>
      <c r="BU17" s="2"/>
      <c r="BV17" s="2"/>
      <c r="BW17" s="2"/>
      <c r="BX17" s="13"/>
      <c r="BY17" s="13"/>
      <c r="BZ17" s="13"/>
      <c r="CA17" s="13"/>
    </row>
    <row r="18" spans="4:85" ht="15.75" thickBot="1" x14ac:dyDescent="0.3">
      <c r="E18" s="104">
        <v>11.7343817428627</v>
      </c>
      <c r="F18" s="105">
        <v>16.155507799063841</v>
      </c>
      <c r="G18" s="105">
        <v>14.431968893475121</v>
      </c>
      <c r="H18" s="105">
        <v>22.163336713176999</v>
      </c>
      <c r="I18" s="105">
        <v>11.10351384090808</v>
      </c>
      <c r="J18" s="105">
        <v>36.558709139037198</v>
      </c>
      <c r="K18" s="105">
        <v>47.271059984746003</v>
      </c>
      <c r="L18" s="105">
        <v>44.047630849297796</v>
      </c>
      <c r="M18" s="105">
        <v>29.117743879641601</v>
      </c>
      <c r="N18" s="105">
        <v>38.001278418352804</v>
      </c>
      <c r="O18" s="105">
        <v>25.558821660909</v>
      </c>
      <c r="P18" s="105">
        <v>14.599591966141759</v>
      </c>
      <c r="Q18" s="105">
        <v>13.396597544379139</v>
      </c>
      <c r="R18" s="105">
        <v>26.917634887164002</v>
      </c>
      <c r="S18" s="105">
        <v>12.311834118474</v>
      </c>
      <c r="T18" s="105">
        <v>12.564117845873159</v>
      </c>
      <c r="U18" s="105">
        <v>15.929396084765262</v>
      </c>
      <c r="V18" s="105">
        <v>10.87976137706192</v>
      </c>
      <c r="W18" s="105">
        <v>12.361454588960161</v>
      </c>
      <c r="X18" s="9">
        <v>33.158709019396596</v>
      </c>
      <c r="Y18" s="79"/>
      <c r="AC18" s="104">
        <f t="shared" si="1"/>
        <v>15.139049917820889</v>
      </c>
      <c r="AD18" s="105">
        <f t="shared" si="2"/>
        <v>25.295144398266576</v>
      </c>
      <c r="AE18" s="105">
        <f t="shared" si="3"/>
        <v>23.694710364417972</v>
      </c>
      <c r="AF18" s="105">
        <f t="shared" si="4"/>
        <v>30.842300698051865</v>
      </c>
      <c r="AG18" s="105">
        <f t="shared" si="5"/>
        <v>23.625667676007311</v>
      </c>
      <c r="AH18" s="105">
        <f t="shared" si="6"/>
        <v>50.035550896845976</v>
      </c>
      <c r="AI18" s="105">
        <f t="shared" si="7"/>
        <v>65.25257694867436</v>
      </c>
      <c r="AJ18" s="105">
        <f t="shared" si="8"/>
        <v>71.925089612405401</v>
      </c>
      <c r="AK18" s="105">
        <f t="shared" si="9"/>
        <v>51.026957075355128</v>
      </c>
      <c r="AL18" s="105">
        <f t="shared" si="10"/>
        <v>54.218748696137368</v>
      </c>
      <c r="AM18" s="105">
        <f t="shared" si="11"/>
        <v>38.6237402044097</v>
      </c>
      <c r="AN18" s="105">
        <f t="shared" si="12"/>
        <v>31.878014635713981</v>
      </c>
      <c r="AO18" s="105">
        <f t="shared" si="13"/>
        <v>27.890906931086157</v>
      </c>
      <c r="AP18" s="105">
        <f t="shared" si="14"/>
        <v>37.262096278087519</v>
      </c>
      <c r="AQ18" s="105">
        <f t="shared" si="15"/>
        <v>27.892196050340829</v>
      </c>
      <c r="AR18" s="105">
        <f t="shared" si="16"/>
        <v>30.183409201653138</v>
      </c>
      <c r="AS18" s="105">
        <f t="shared" si="17"/>
        <v>35.575675269385478</v>
      </c>
      <c r="AT18" s="105">
        <f t="shared" si="18"/>
        <v>24.918689010573832</v>
      </c>
      <c r="AU18" s="105">
        <f t="shared" si="19"/>
        <v>25.60046380012983</v>
      </c>
      <c r="AV18" s="9">
        <f t="shared" si="20"/>
        <v>40.293162956525919</v>
      </c>
      <c r="AW18" s="2"/>
      <c r="BA18" s="104">
        <v>12.573736129649616</v>
      </c>
      <c r="BB18" s="105">
        <v>25.180034675591077</v>
      </c>
      <c r="BC18" s="105">
        <v>24.434636366135461</v>
      </c>
      <c r="BD18" s="105">
        <v>27.722529027969536</v>
      </c>
      <c r="BE18" s="105">
        <v>28.33572495913992</v>
      </c>
      <c r="BF18" s="105">
        <v>44.245408574985923</v>
      </c>
      <c r="BG18" s="105">
        <v>58.192294285197463</v>
      </c>
      <c r="BH18" s="105">
        <v>73.881627938443614</v>
      </c>
      <c r="BI18" s="105">
        <v>54.991567299644466</v>
      </c>
      <c r="BJ18" s="105">
        <v>49.89525597429661</v>
      </c>
      <c r="BK18" s="105">
        <v>37.37150045168277</v>
      </c>
      <c r="BL18" s="105">
        <v>38.69540240856962</v>
      </c>
      <c r="BM18" s="105">
        <v>33.10255440699531</v>
      </c>
      <c r="BN18" s="105">
        <v>33.322494841549613</v>
      </c>
      <c r="BO18" s="105">
        <v>34.415990523779307</v>
      </c>
      <c r="BP18" s="105">
        <v>38.160600541845923</v>
      </c>
      <c r="BQ18" s="105">
        <v>43.623399192425154</v>
      </c>
      <c r="BR18" s="105">
        <v>30.891493038897767</v>
      </c>
      <c r="BS18" s="105">
        <v>30.305550280577464</v>
      </c>
      <c r="BT18" s="9">
        <v>31.136066296145923</v>
      </c>
      <c r="BU18" s="2"/>
      <c r="BV18" s="2"/>
      <c r="BW18" s="2"/>
      <c r="BX18" s="13"/>
      <c r="BY18" s="13"/>
      <c r="BZ18" s="13"/>
      <c r="CA18" s="13"/>
    </row>
    <row r="19" spans="4:85" x14ac:dyDescent="0.25">
      <c r="D19" s="58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80"/>
      <c r="AB19" s="58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80"/>
      <c r="AZ19" s="58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13"/>
      <c r="BY19" s="13"/>
      <c r="BZ19" s="13"/>
      <c r="CA19" s="13"/>
    </row>
    <row r="20" spans="4:85" ht="15.75" thickBot="1" x14ac:dyDescent="0.3">
      <c r="D20" s="58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80"/>
      <c r="AB20" s="58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80"/>
      <c r="AZ20" s="58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X20" s="13"/>
      <c r="BY20" s="13"/>
      <c r="BZ20" s="13"/>
      <c r="CA20" s="13"/>
    </row>
    <row r="21" spans="4:85" ht="21" x14ac:dyDescent="0.35">
      <c r="E21" s="111" t="s">
        <v>19</v>
      </c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111"/>
      <c r="S21" s="111"/>
      <c r="T21" s="111"/>
      <c r="U21" s="111"/>
      <c r="V21" s="111"/>
      <c r="W21" s="111"/>
      <c r="X21" s="111"/>
      <c r="AC21" s="106" t="s">
        <v>17</v>
      </c>
      <c r="AD21" s="106"/>
      <c r="AE21" s="106"/>
      <c r="AF21" s="106"/>
      <c r="AG21" s="106"/>
      <c r="AH21" s="106"/>
      <c r="AI21" s="106"/>
      <c r="AJ21" s="106"/>
      <c r="AK21" s="106"/>
      <c r="AL21" s="106"/>
      <c r="AM21" s="106"/>
      <c r="AN21" s="106"/>
      <c r="AO21" s="106"/>
      <c r="AP21" s="106"/>
      <c r="AQ21" s="106"/>
      <c r="AR21" s="106"/>
      <c r="AS21" s="106"/>
      <c r="AT21" s="106"/>
      <c r="AU21" s="106"/>
      <c r="AV21" s="106"/>
      <c r="BA21" s="111" t="s">
        <v>18</v>
      </c>
      <c r="BB21" s="111"/>
      <c r="BC21" s="111"/>
      <c r="BD21" s="111"/>
      <c r="BE21" s="111"/>
      <c r="BF21" s="111"/>
      <c r="BG21" s="111"/>
      <c r="BH21" s="111"/>
      <c r="BI21" s="111"/>
      <c r="BJ21" s="111"/>
      <c r="BK21" s="111"/>
      <c r="BL21" s="111"/>
      <c r="BM21" s="111"/>
      <c r="BN21" s="111"/>
      <c r="BO21" s="111"/>
      <c r="BP21" s="111"/>
      <c r="BQ21" s="111"/>
      <c r="BR21" s="111"/>
      <c r="BS21" s="111"/>
      <c r="BT21" s="111"/>
      <c r="BX21" s="13"/>
      <c r="BY21" s="13"/>
      <c r="BZ21" s="13"/>
      <c r="CA21" s="13"/>
    </row>
    <row r="22" spans="4:85" ht="15" customHeight="1" x14ac:dyDescent="0.25">
      <c r="E22" s="115">
        <f>MAX(E8:X18)</f>
        <v>74.574638969895204</v>
      </c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08"/>
      <c r="AC22" s="114">
        <v>51</v>
      </c>
      <c r="AD22" s="114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14"/>
      <c r="AP22" s="114"/>
      <c r="AQ22" s="114"/>
      <c r="AR22" s="114"/>
      <c r="AS22" s="114"/>
      <c r="AT22" s="114"/>
      <c r="AU22" s="114"/>
      <c r="AV22" s="114"/>
      <c r="AW22" s="107"/>
      <c r="BA22" s="115">
        <f>MAX(BA9:BT18)</f>
        <v>86.603801880218469</v>
      </c>
      <c r="BB22" s="115"/>
      <c r="BC22" s="115"/>
      <c r="BD22" s="115"/>
      <c r="BE22" s="115"/>
      <c r="BF22" s="115"/>
      <c r="BG22" s="115"/>
      <c r="BH22" s="115"/>
      <c r="BI22" s="115"/>
      <c r="BJ22" s="115"/>
      <c r="BK22" s="115"/>
      <c r="BL22" s="115"/>
      <c r="BM22" s="115"/>
      <c r="BN22" s="115"/>
      <c r="BO22" s="115"/>
      <c r="BP22" s="115"/>
      <c r="BQ22" s="115"/>
      <c r="BR22" s="115"/>
      <c r="BS22" s="115"/>
      <c r="BT22" s="115"/>
      <c r="BU22" s="108"/>
      <c r="BX22" s="13"/>
      <c r="BY22" s="13"/>
      <c r="BZ22" s="13"/>
      <c r="CA22" s="13"/>
    </row>
    <row r="23" spans="4:85" ht="15" customHeight="1" x14ac:dyDescent="0.25"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08"/>
      <c r="AC23" s="114"/>
      <c r="AD23" s="114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14"/>
      <c r="AP23" s="114"/>
      <c r="AQ23" s="114"/>
      <c r="AR23" s="114"/>
      <c r="AS23" s="114"/>
      <c r="AT23" s="114"/>
      <c r="AU23" s="114"/>
      <c r="AV23" s="114"/>
      <c r="AW23" s="107"/>
      <c r="BA23" s="115"/>
      <c r="BB23" s="115"/>
      <c r="BC23" s="115"/>
      <c r="BD23" s="115"/>
      <c r="BE23" s="115"/>
      <c r="BF23" s="115"/>
      <c r="BG23" s="115"/>
      <c r="BH23" s="115"/>
      <c r="BI23" s="115"/>
      <c r="BJ23" s="115"/>
      <c r="BK23" s="115"/>
      <c r="BL23" s="115"/>
      <c r="BM23" s="115"/>
      <c r="BN23" s="115"/>
      <c r="BO23" s="115"/>
      <c r="BP23" s="115"/>
      <c r="BQ23" s="115"/>
      <c r="BR23" s="115"/>
      <c r="BS23" s="115"/>
      <c r="BT23" s="115"/>
      <c r="BU23" s="108"/>
      <c r="BX23" s="13"/>
      <c r="BY23" s="13"/>
      <c r="BZ23" s="13"/>
      <c r="CA23" s="13"/>
    </row>
    <row r="24" spans="4:85" ht="15" customHeight="1" x14ac:dyDescent="0.25"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08"/>
      <c r="AC24" s="114"/>
      <c r="AD24" s="114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14"/>
      <c r="AP24" s="114"/>
      <c r="AQ24" s="114"/>
      <c r="AR24" s="114"/>
      <c r="AS24" s="114"/>
      <c r="AT24" s="114"/>
      <c r="AU24" s="114"/>
      <c r="AV24" s="114"/>
      <c r="AW24" s="107"/>
      <c r="BA24" s="115"/>
      <c r="BB24" s="115"/>
      <c r="BC24" s="115"/>
      <c r="BD24" s="115"/>
      <c r="BE24" s="115"/>
      <c r="BF24" s="115"/>
      <c r="BG24" s="115"/>
      <c r="BH24" s="115"/>
      <c r="BI24" s="115"/>
      <c r="BJ24" s="115"/>
      <c r="BK24" s="115"/>
      <c r="BL24" s="115"/>
      <c r="BM24" s="115"/>
      <c r="BN24" s="115"/>
      <c r="BO24" s="115"/>
      <c r="BP24" s="115"/>
      <c r="BQ24" s="115"/>
      <c r="BR24" s="115"/>
      <c r="BS24" s="115"/>
      <c r="BT24" s="115"/>
      <c r="BU24" s="108"/>
      <c r="BX24" s="13"/>
      <c r="BY24" s="13"/>
      <c r="BZ24" s="13"/>
      <c r="CA24" s="13"/>
    </row>
    <row r="25" spans="4:85" x14ac:dyDescent="0.25">
      <c r="BX25" s="13"/>
      <c r="BY25" s="13"/>
      <c r="BZ25" s="13"/>
      <c r="CA25" s="13"/>
    </row>
    <row r="26" spans="4:85" ht="15" customHeight="1" x14ac:dyDescent="0.25">
      <c r="Z26" s="112" t="s">
        <v>36</v>
      </c>
      <c r="AA26" s="112"/>
      <c r="AB26" s="112"/>
      <c r="AW26" s="112" t="s">
        <v>37</v>
      </c>
      <c r="AX26" s="112"/>
      <c r="AY26" s="112"/>
      <c r="BX26" s="13"/>
      <c r="BY26" s="13"/>
      <c r="BZ26" s="13"/>
      <c r="CA26" s="13"/>
    </row>
    <row r="27" spans="4:85" ht="15.75" customHeight="1" x14ac:dyDescent="0.25">
      <c r="E27" s="116"/>
      <c r="F27" s="116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112"/>
      <c r="AA27" s="112"/>
      <c r="AB27" s="112"/>
      <c r="AC27" s="2"/>
      <c r="AD27" s="2"/>
      <c r="AE27" s="2"/>
      <c r="AF27" s="2"/>
      <c r="AG27" s="103"/>
      <c r="AH27" s="103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112"/>
      <c r="AX27" s="112"/>
      <c r="AY27" s="11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116"/>
      <c r="BS27" s="116"/>
      <c r="BT27" s="59"/>
      <c r="BU27" s="59"/>
      <c r="BV27" s="59"/>
      <c r="BW27" s="59"/>
      <c r="BX27" s="13"/>
      <c r="BY27" s="13"/>
      <c r="BZ27" s="13"/>
      <c r="CA27" s="13"/>
    </row>
    <row r="28" spans="4:85" x14ac:dyDescent="0.25">
      <c r="E28" s="116"/>
      <c r="F28" s="116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2"/>
      <c r="AC28" s="2"/>
      <c r="AD28" s="2"/>
      <c r="AE28" s="2"/>
      <c r="AF28" s="2"/>
      <c r="AG28" s="59"/>
      <c r="AH28" s="59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59"/>
      <c r="AY28" s="59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116"/>
      <c r="BS28" s="116"/>
      <c r="BT28" s="59"/>
      <c r="BU28" s="59"/>
      <c r="BV28" s="59"/>
      <c r="BW28" s="59"/>
      <c r="BX28" s="13"/>
      <c r="BY28" s="13"/>
      <c r="BZ28" s="13"/>
      <c r="CA28" s="13"/>
    </row>
    <row r="29" spans="4:85" x14ac:dyDescent="0.25">
      <c r="E29" s="2"/>
      <c r="F29" s="2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2"/>
      <c r="AC29" s="2"/>
      <c r="AD29" s="2"/>
      <c r="AE29" s="2"/>
      <c r="AF29" s="2"/>
      <c r="AG29" s="59"/>
      <c r="AH29" s="59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59"/>
      <c r="AY29" s="59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13"/>
      <c r="BY29" s="13"/>
      <c r="BZ29" s="13"/>
      <c r="CA29" s="13"/>
    </row>
    <row r="30" spans="4:85" ht="18.75" x14ac:dyDescent="0.25">
      <c r="D30" s="110" t="s">
        <v>27</v>
      </c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0"/>
      <c r="BB30" s="11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10"/>
      <c r="BW30" s="110"/>
      <c r="BX30" s="110"/>
      <c r="BY30" s="110"/>
      <c r="BZ30" s="110"/>
      <c r="CA30" s="110"/>
      <c r="CB30" s="110"/>
      <c r="CC30" s="110"/>
      <c r="CD30" s="110"/>
      <c r="CE30" s="110"/>
      <c r="CF30" s="110"/>
      <c r="CG30" s="110"/>
    </row>
    <row r="31" spans="4:85" x14ac:dyDescent="0.25"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59"/>
      <c r="AH31" s="59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59"/>
      <c r="AY31" s="59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</row>
    <row r="32" spans="4:85" x14ac:dyDescent="0.25"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59"/>
      <c r="AH32" s="59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59"/>
      <c r="AY32" s="59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</row>
    <row r="33" spans="5:79" x14ac:dyDescent="0.25"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59"/>
      <c r="AH33" s="59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59"/>
      <c r="AY33" s="59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</row>
    <row r="34" spans="5:79" x14ac:dyDescent="0.25"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59"/>
      <c r="AH34" s="59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59"/>
      <c r="AY34" s="59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</row>
    <row r="35" spans="5:79" x14ac:dyDescent="0.25"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 t="s">
        <v>35</v>
      </c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59"/>
      <c r="AH35" s="59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59"/>
      <c r="AY35" s="59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</row>
    <row r="36" spans="5:79" ht="18.75" x14ac:dyDescent="0.3">
      <c r="E36" s="2"/>
      <c r="F36" s="109" t="s">
        <v>35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59"/>
      <c r="AH36" s="59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59"/>
      <c r="AY36" s="59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</row>
    <row r="37" spans="5:79" x14ac:dyDescent="0.25"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59"/>
      <c r="AH37" s="59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59"/>
      <c r="AY37" s="59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</row>
    <row r="38" spans="5:79" x14ac:dyDescent="0.25"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59"/>
      <c r="AH38" s="59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59"/>
      <c r="AY38" s="59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</row>
    <row r="39" spans="5:79" x14ac:dyDescent="0.25"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</row>
    <row r="40" spans="5:79" x14ac:dyDescent="0.25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</row>
    <row r="41" spans="5:79" x14ac:dyDescent="0.25"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</row>
    <row r="42" spans="5:79" x14ac:dyDescent="0.25">
      <c r="E42" s="102"/>
      <c r="F42" s="10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1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</row>
    <row r="43" spans="5:79" x14ac:dyDescent="0.25">
      <c r="E43" s="102"/>
      <c r="F43" s="10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</row>
    <row r="44" spans="5:79" x14ac:dyDescent="0.25">
      <c r="E44" s="102"/>
      <c r="F44" s="10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1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</row>
    <row r="45" spans="5:79" x14ac:dyDescent="0.25">
      <c r="E45" s="102"/>
      <c r="F45" s="10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</row>
    <row r="46" spans="5:79" x14ac:dyDescent="0.25"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</row>
    <row r="47" spans="5:79" x14ac:dyDescent="0.25"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</row>
    <row r="48" spans="5:79" x14ac:dyDescent="0.25"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</row>
  </sheetData>
  <mergeCells count="14">
    <mergeCell ref="AD2:AT2"/>
    <mergeCell ref="E7:X7"/>
    <mergeCell ref="AC7:AV7"/>
    <mergeCell ref="BA7:BT7"/>
    <mergeCell ref="AC22:AV24"/>
    <mergeCell ref="BA22:BT24"/>
    <mergeCell ref="E22:X24"/>
    <mergeCell ref="D30:CG30"/>
    <mergeCell ref="E21:X21"/>
    <mergeCell ref="BA21:BT21"/>
    <mergeCell ref="Z26:AB27"/>
    <mergeCell ref="AW26:AY27"/>
    <mergeCell ref="E27:F28"/>
    <mergeCell ref="BR27:BS28"/>
  </mergeCells>
  <conditionalFormatting sqref="E9:X18">
    <cfRule type="colorScale" priority="7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AC9:AV18">
    <cfRule type="colorScale" priority="6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BA9:BT18">
    <cfRule type="colorScale" priority="5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G42:Z42">
    <cfRule type="colorScale" priority="2">
      <colorScale>
        <cfvo type="min"/>
        <cfvo type="max"/>
        <color rgb="FF63BE7B"/>
        <color rgb="FFFCFCFF"/>
      </colorScale>
    </cfRule>
  </conditionalFormatting>
  <conditionalFormatting sqref="G43:Z43">
    <cfRule type="colorScale" priority="1">
      <colorScale>
        <cfvo type="min"/>
        <cfvo type="max"/>
        <color rgb="FF63BE7B"/>
        <color rgb="FFFCFCFF"/>
      </colorScale>
    </cfRule>
  </conditionalFormatting>
  <conditionalFormatting sqref="G44:Z44">
    <cfRule type="colorScale" priority="4">
      <colorScale>
        <cfvo type="min"/>
        <cfvo type="max"/>
        <color rgb="FFFCFCFF"/>
        <color rgb="FFF8696B"/>
      </colorScale>
    </cfRule>
  </conditionalFormatting>
  <conditionalFormatting sqref="G45:Z45">
    <cfRule type="colorScale" priority="3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39" r:id="rId4" name="ScrollBar1">
          <controlPr defaultSize="0" autoLine="0" r:id="rId5">
            <anchor moveWithCells="1">
              <from>
                <xdr:col>28</xdr:col>
                <xdr:colOff>19050</xdr:colOff>
                <xdr:row>25</xdr:row>
                <xdr:rowOff>0</xdr:rowOff>
              </from>
              <to>
                <xdr:col>48</xdr:col>
                <xdr:colOff>0</xdr:colOff>
                <xdr:row>26</xdr:row>
                <xdr:rowOff>190500</xdr:rowOff>
              </to>
            </anchor>
          </controlPr>
        </control>
      </mc:Choice>
      <mc:Fallback>
        <control shapeId="18439" r:id="rId4" name="Scroll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0.79998168889431442"/>
    <pageSetUpPr fitToPage="1"/>
  </sheetPr>
  <dimension ref="A1:DK164"/>
  <sheetViews>
    <sheetView showGridLines="0" showRowColHeaders="0" zoomScale="73" zoomScaleNormal="73" workbookViewId="0">
      <selection activeCell="AB54" sqref="AB54:AS54"/>
    </sheetView>
  </sheetViews>
  <sheetFormatPr defaultRowHeight="15" x14ac:dyDescent="0.25"/>
  <cols>
    <col min="1" max="78" width="3.140625" customWidth="1"/>
    <col min="79" max="79" width="6.7109375" customWidth="1"/>
    <col min="80" max="102" width="3.140625" customWidth="1"/>
    <col min="104" max="104" width="13.42578125" customWidth="1"/>
    <col min="105" max="105" width="7.140625" customWidth="1"/>
    <col min="106" max="106" width="9.140625" hidden="1" customWidth="1"/>
    <col min="107" max="109" width="13.42578125" customWidth="1"/>
  </cols>
  <sheetData>
    <row r="1" spans="3:110" ht="44.25" customHeight="1" x14ac:dyDescent="0.25">
      <c r="C1" s="130" t="s">
        <v>11</v>
      </c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130"/>
      <c r="AH1" s="130"/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  <c r="AX1" s="130"/>
      <c r="AY1" s="130"/>
      <c r="AZ1" s="130"/>
      <c r="BA1" s="130"/>
      <c r="BB1" s="130"/>
      <c r="BC1" s="130"/>
      <c r="BD1" s="130"/>
      <c r="BE1" s="130"/>
      <c r="BF1" s="130"/>
      <c r="BG1" s="130"/>
      <c r="BH1" s="130"/>
      <c r="BI1" s="130"/>
      <c r="BJ1" s="130"/>
      <c r="BK1" s="130"/>
      <c r="BL1" s="130"/>
      <c r="BM1" s="130"/>
      <c r="BN1" s="130"/>
      <c r="BO1" s="130"/>
      <c r="BP1" s="130"/>
      <c r="BQ1" s="130"/>
      <c r="BR1" s="130"/>
      <c r="BS1" s="130"/>
      <c r="BT1" s="130"/>
      <c r="BU1" s="130"/>
      <c r="BV1" s="130"/>
      <c r="BW1" s="130"/>
      <c r="BX1" s="130"/>
      <c r="BY1" s="130"/>
      <c r="BZ1" s="130"/>
      <c r="CA1" s="130"/>
      <c r="CB1" s="130"/>
      <c r="CC1" s="130"/>
      <c r="CD1" s="130"/>
      <c r="CE1" s="130"/>
      <c r="CF1" s="130"/>
    </row>
    <row r="2" spans="3:110" ht="75.75" customHeight="1" x14ac:dyDescent="0.25">
      <c r="CZ2" s="87" t="s">
        <v>22</v>
      </c>
      <c r="DA2" s="78"/>
      <c r="DB2" s="78"/>
      <c r="DC2" s="77" t="s">
        <v>2</v>
      </c>
      <c r="DD2" s="77" t="s">
        <v>4</v>
      </c>
      <c r="DE2" s="77" t="s">
        <v>3</v>
      </c>
      <c r="DF2" s="77" t="s">
        <v>5</v>
      </c>
    </row>
    <row r="3" spans="3:110" ht="21.75" customHeight="1" x14ac:dyDescent="0.25">
      <c r="CZ3" s="79"/>
      <c r="DA3" s="79"/>
      <c r="DB3" s="79"/>
      <c r="DC3" s="79"/>
      <c r="DD3" s="79"/>
      <c r="DE3" s="79"/>
      <c r="DF3" s="79"/>
    </row>
    <row r="4" spans="3:110" ht="15" customHeight="1" x14ac:dyDescent="0.25">
      <c r="CZ4" s="1">
        <v>0.8133670011244527</v>
      </c>
      <c r="DC4" s="1">
        <v>0.82514229147513096</v>
      </c>
      <c r="DD4" s="1">
        <v>0.94138517060910687</v>
      </c>
      <c r="DE4" s="1">
        <v>0.98947887596682493</v>
      </c>
      <c r="DF4" s="1">
        <v>0.99495627685208388</v>
      </c>
    </row>
    <row r="5" spans="3:110" ht="15" customHeight="1" x14ac:dyDescent="0.25"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Z5" s="1">
        <v>0.81367599882515862</v>
      </c>
      <c r="DC5" s="1">
        <v>0.82649506179320731</v>
      </c>
      <c r="DD5" s="1">
        <v>0.94219462340267779</v>
      </c>
      <c r="DE5" s="1">
        <v>0.98942696635100691</v>
      </c>
      <c r="DF5" s="1">
        <v>0.99497192656572686</v>
      </c>
    </row>
    <row r="6" spans="3:110" ht="35.25" customHeight="1" thickBot="1" x14ac:dyDescent="0.55000000000000004">
      <c r="C6" s="113" t="s">
        <v>14</v>
      </c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AA6" s="113" t="s">
        <v>16</v>
      </c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Y6" s="113" t="s">
        <v>15</v>
      </c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Z6" s="1">
        <v>0.8139802459584089</v>
      </c>
      <c r="DC6" s="1">
        <v>0.8278504337904562</v>
      </c>
      <c r="DD6" s="1">
        <v>0.94300162662591391</v>
      </c>
      <c r="DE6" s="1">
        <v>0.98936658769681607</v>
      </c>
      <c r="DF6" s="1">
        <v>0.99497947447976487</v>
      </c>
    </row>
    <row r="7" spans="3:110" ht="15" customHeight="1" x14ac:dyDescent="0.25">
      <c r="C7" s="45">
        <v>14.63455417485255</v>
      </c>
      <c r="D7" s="46">
        <v>33.335409082603</v>
      </c>
      <c r="E7" s="46">
        <v>48.534628896059701</v>
      </c>
      <c r="F7" s="46">
        <v>54.405913450440998</v>
      </c>
      <c r="G7" s="46">
        <v>45.473870880611649</v>
      </c>
      <c r="H7" s="46">
        <v>40.918101876933299</v>
      </c>
      <c r="I7" s="46">
        <v>57.243261048765497</v>
      </c>
      <c r="J7" s="46">
        <v>64.502329725526494</v>
      </c>
      <c r="K7" s="46">
        <v>60.467155441880003</v>
      </c>
      <c r="L7" s="46">
        <v>45.537576019470599</v>
      </c>
      <c r="M7" s="46">
        <v>32.253202689035703</v>
      </c>
      <c r="N7" s="46">
        <v>36.532050146716749</v>
      </c>
      <c r="O7" s="46">
        <v>59.631003577755997</v>
      </c>
      <c r="P7" s="46">
        <v>35.08429574087215</v>
      </c>
      <c r="Q7" s="46">
        <v>38.269622796800903</v>
      </c>
      <c r="R7" s="46">
        <v>20.201962820828001</v>
      </c>
      <c r="S7" s="46">
        <v>41.395198419520852</v>
      </c>
      <c r="T7" s="46">
        <v>20.699729939223602</v>
      </c>
      <c r="U7" s="46">
        <v>11.736137641833849</v>
      </c>
      <c r="V7" s="47">
        <v>5.8983160813123998</v>
      </c>
      <c r="W7" s="3">
        <f t="shared" ref="W7:W16" si="0">AVERAGE(C7:V7)</f>
        <v>38.3377160225522</v>
      </c>
      <c r="AA7" s="45">
        <f>((($AA$20/$C$20)*C7) + (((100-$AA$20)/$AY$20)*AY7))</f>
        <v>18.734232875233563</v>
      </c>
      <c r="AB7" s="46">
        <f t="shared" ref="AB7:AT16" si="1">((($AA$20/$C$20)*D7) + (((100-$AA$20)/$AY$20)*AZ7))</f>
        <v>42.673887382083699</v>
      </c>
      <c r="AC7" s="46">
        <f t="shared" si="1"/>
        <v>62.130969579808443</v>
      </c>
      <c r="AD7" s="46">
        <f t="shared" si="1"/>
        <v>69.647017612727041</v>
      </c>
      <c r="AE7" s="46">
        <f t="shared" si="1"/>
        <v>58.212780289513972</v>
      </c>
      <c r="AF7" s="46">
        <f t="shared" si="1"/>
        <v>52.380772261053416</v>
      </c>
      <c r="AG7" s="46">
        <f t="shared" si="1"/>
        <v>73.279210983286717</v>
      </c>
      <c r="AH7" s="46">
        <f t="shared" si="1"/>
        <v>82.571812686278065</v>
      </c>
      <c r="AI7" s="46">
        <f t="shared" si="1"/>
        <v>77.406237171043841</v>
      </c>
      <c r="AJ7" s="46">
        <f t="shared" si="1"/>
        <v>58.294331588752279</v>
      </c>
      <c r="AK7" s="46">
        <f t="shared" si="1"/>
        <v>41.288515039754685</v>
      </c>
      <c r="AL7" s="46">
        <f t="shared" si="1"/>
        <v>46.766025577625605</v>
      </c>
      <c r="AM7" s="46">
        <f t="shared" si="1"/>
        <v>76.335848312292185</v>
      </c>
      <c r="AN7" s="46">
        <f t="shared" si="1"/>
        <v>44.912701734536185</v>
      </c>
      <c r="AO7" s="46">
        <f t="shared" si="1"/>
        <v>48.990356450666447</v>
      </c>
      <c r="AP7" s="46">
        <f t="shared" si="1"/>
        <v>25.861278143515111</v>
      </c>
      <c r="AQ7" s="46">
        <f t="shared" si="1"/>
        <v>52.991521152069367</v>
      </c>
      <c r="AR7" s="46">
        <f t="shared" si="1"/>
        <v>26.498488201453284</v>
      </c>
      <c r="AS7" s="46">
        <f t="shared" si="1"/>
        <v>15.023862907673786</v>
      </c>
      <c r="AT7" s="47">
        <f t="shared" si="1"/>
        <v>7.5506520881190351</v>
      </c>
      <c r="AU7" s="3">
        <f t="shared" ref="AU7:AU16" si="2">AVERAGE(AA7:AT7)</f>
        <v>49.077525101874336</v>
      </c>
      <c r="AY7" s="45">
        <v>58.594286046189502</v>
      </c>
      <c r="AZ7" s="46">
        <v>74.515783230419004</v>
      </c>
      <c r="BA7" s="46">
        <v>69.925542622964002</v>
      </c>
      <c r="BB7" s="46">
        <v>62.188933413173501</v>
      </c>
      <c r="BC7" s="46">
        <v>58.191038903733499</v>
      </c>
      <c r="BD7" s="46">
        <v>49.839775684652452</v>
      </c>
      <c r="BE7" s="46">
        <v>66.700357245096001</v>
      </c>
      <c r="BF7" s="46">
        <v>67.695309358988993</v>
      </c>
      <c r="BG7" s="46">
        <v>76.887037986782502</v>
      </c>
      <c r="BH7" s="46">
        <v>69.899360698386005</v>
      </c>
      <c r="BI7" s="46">
        <v>56.5559766436185</v>
      </c>
      <c r="BJ7" s="46">
        <v>46.921749657701803</v>
      </c>
      <c r="BK7" s="46">
        <v>70.030854964250494</v>
      </c>
      <c r="BL7" s="46">
        <v>68.953021491984501</v>
      </c>
      <c r="BM7" s="46">
        <v>62.629359134842502</v>
      </c>
      <c r="BN7" s="46">
        <v>36.270945485831099</v>
      </c>
      <c r="BO7" s="46">
        <v>47.059287943937548</v>
      </c>
      <c r="BP7" s="46">
        <v>35.268811461348449</v>
      </c>
      <c r="BQ7" s="46">
        <v>42.145087305048349</v>
      </c>
      <c r="BR7" s="47">
        <v>43.309742938871103</v>
      </c>
      <c r="BS7" s="3">
        <f t="shared" ref="BS7:BS16" si="3">AVERAGE(AY7:BR7)</f>
        <v>58.179113110890981</v>
      </c>
      <c r="BV7" s="13"/>
      <c r="BW7" s="13"/>
      <c r="BX7" s="13"/>
      <c r="BY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Z7" s="1">
        <v>0.81427962961038636</v>
      </c>
      <c r="DC7" s="1">
        <v>0.82920834488938566</v>
      </c>
      <c r="DD7" s="1">
        <v>0.94380606891200014</v>
      </c>
      <c r="DE7" s="1">
        <v>0.98929758798167278</v>
      </c>
      <c r="DF7" s="1">
        <v>0.99497876982506794</v>
      </c>
    </row>
    <row r="8" spans="3:110" ht="15" customHeight="1" x14ac:dyDescent="0.25">
      <c r="C8" s="48">
        <v>10.29883821667425</v>
      </c>
      <c r="D8" s="49">
        <v>12.461692407863501</v>
      </c>
      <c r="E8" s="49">
        <v>30.625634579235001</v>
      </c>
      <c r="F8" s="49">
        <v>39.119180970372099</v>
      </c>
      <c r="G8" s="49">
        <v>31.02517546564205</v>
      </c>
      <c r="H8" s="49">
        <v>28.574020986700599</v>
      </c>
      <c r="I8" s="49">
        <v>36.540409967559548</v>
      </c>
      <c r="J8" s="49">
        <v>42.045957571980203</v>
      </c>
      <c r="K8" s="49">
        <v>41.435562253984102</v>
      </c>
      <c r="L8" s="49">
        <v>39.206547827414347</v>
      </c>
      <c r="M8" s="49">
        <v>38.943255774647099</v>
      </c>
      <c r="N8" s="49">
        <v>48.629992514677447</v>
      </c>
      <c r="O8" s="49">
        <v>67.559582512733996</v>
      </c>
      <c r="P8" s="49">
        <v>45.514129668397452</v>
      </c>
      <c r="Q8" s="49">
        <v>21.106830643405349</v>
      </c>
      <c r="R8" s="49">
        <v>21.952570181967548</v>
      </c>
      <c r="S8" s="49">
        <v>15.078240788227451</v>
      </c>
      <c r="T8" s="49">
        <v>21.20083509053455</v>
      </c>
      <c r="U8" s="49">
        <v>27.156875337097649</v>
      </c>
      <c r="V8" s="50">
        <v>24.576113836467801</v>
      </c>
      <c r="W8" s="5">
        <f t="shared" si="0"/>
        <v>32.152572329779098</v>
      </c>
      <c r="AA8" s="48">
        <f t="shared" ref="AA8:AA16" si="4">((($AA$20/$C$20)*C8) + (((100-$AA$20)/$AY$20)*AY8))</f>
        <v>13.183922871191564</v>
      </c>
      <c r="AB8" s="49">
        <f t="shared" si="1"/>
        <v>15.952672339661286</v>
      </c>
      <c r="AC8" s="49">
        <f t="shared" si="1"/>
        <v>39.205005038356411</v>
      </c>
      <c r="AD8" s="49">
        <f t="shared" si="1"/>
        <v>50.077907220890118</v>
      </c>
      <c r="AE8" s="49">
        <f t="shared" si="1"/>
        <v>39.716472071768955</v>
      </c>
      <c r="AF8" s="49">
        <f t="shared" si="1"/>
        <v>36.578658765466194</v>
      </c>
      <c r="AG8" s="49">
        <f t="shared" si="1"/>
        <v>46.776727292798682</v>
      </c>
      <c r="AH8" s="49">
        <f t="shared" si="1"/>
        <v>53.824581958855845</v>
      </c>
      <c r="AI8" s="49">
        <f t="shared" si="1"/>
        <v>53.043192386159383</v>
      </c>
      <c r="AJ8" s="49">
        <f t="shared" si="1"/>
        <v>50.18974875879082</v>
      </c>
      <c r="AK8" s="49">
        <f t="shared" si="1"/>
        <v>49.852698885470062</v>
      </c>
      <c r="AL8" s="49">
        <f t="shared" si="1"/>
        <v>62.253048067315753</v>
      </c>
      <c r="AM8" s="49">
        <f t="shared" si="1"/>
        <v>86.485514804544295</v>
      </c>
      <c r="AN8" s="49">
        <f t="shared" si="1"/>
        <v>58.26431704947553</v>
      </c>
      <c r="AO8" s="49">
        <f t="shared" si="1"/>
        <v>27.019632836587977</v>
      </c>
      <c r="AP8" s="49">
        <f t="shared" si="1"/>
        <v>28.102295231213091</v>
      </c>
      <c r="AQ8" s="49">
        <f t="shared" si="1"/>
        <v>19.302212482898845</v>
      </c>
      <c r="AR8" s="49">
        <f t="shared" si="1"/>
        <v>27.139971398513715</v>
      </c>
      <c r="AS8" s="49">
        <f t="shared" si="1"/>
        <v>34.764518320832302</v>
      </c>
      <c r="AT8" s="50">
        <f t="shared" si="1"/>
        <v>31.460790283027286</v>
      </c>
      <c r="AU8" s="5">
        <f t="shared" si="2"/>
        <v>41.159694403190905</v>
      </c>
      <c r="AY8" s="48">
        <v>48.113621492571653</v>
      </c>
      <c r="AZ8" s="49">
        <v>54.551080733813002</v>
      </c>
      <c r="BA8" s="49">
        <v>60.929170620271499</v>
      </c>
      <c r="BB8" s="49">
        <v>57.971360761923997</v>
      </c>
      <c r="BC8" s="49">
        <v>53.514507828556503</v>
      </c>
      <c r="BD8" s="49">
        <v>56.400565495418498</v>
      </c>
      <c r="BE8" s="49">
        <v>59.444734774553503</v>
      </c>
      <c r="BF8" s="49">
        <v>69.0340811286285</v>
      </c>
      <c r="BG8" s="49">
        <v>74.713535192254994</v>
      </c>
      <c r="BH8" s="49">
        <v>71.059518303848506</v>
      </c>
      <c r="BI8" s="49">
        <v>63.455541108158499</v>
      </c>
      <c r="BJ8" s="49">
        <v>67.695484483989006</v>
      </c>
      <c r="BK8" s="49">
        <v>70.702241327059994</v>
      </c>
      <c r="BL8" s="49">
        <v>66.193221007602503</v>
      </c>
      <c r="BM8" s="49">
        <v>50.619139280988499</v>
      </c>
      <c r="BN8" s="49">
        <v>67.096057158449995</v>
      </c>
      <c r="BO8" s="49">
        <v>58.158156649440997</v>
      </c>
      <c r="BP8" s="49">
        <v>40.817428213395949</v>
      </c>
      <c r="BQ8" s="49">
        <v>50.949951659767002</v>
      </c>
      <c r="BR8" s="50">
        <v>59.027835111263002</v>
      </c>
      <c r="BS8" s="5">
        <f t="shared" si="3"/>
        <v>60.022361616597799</v>
      </c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Z8" s="1">
        <v>0.81457403486610969</v>
      </c>
      <c r="DC8" s="1">
        <v>0.83056873054238667</v>
      </c>
      <c r="DD8" s="1">
        <v>0.94460783655257097</v>
      </c>
      <c r="DE8" s="1">
        <v>0.98921981282972515</v>
      </c>
      <c r="DF8" s="1">
        <v>0.99496965944970717</v>
      </c>
    </row>
    <row r="9" spans="3:110" ht="15" customHeight="1" x14ac:dyDescent="0.25">
      <c r="C9" s="48">
        <v>35.916422240618097</v>
      </c>
      <c r="D9" s="49">
        <v>43.128944061433202</v>
      </c>
      <c r="E9" s="49">
        <v>33.587216417074053</v>
      </c>
      <c r="F9" s="49">
        <v>41.679284975068697</v>
      </c>
      <c r="G9" s="49">
        <v>32.622506370411898</v>
      </c>
      <c r="H9" s="49">
        <v>21.984279238133201</v>
      </c>
      <c r="I9" s="49">
        <v>22.340262124296149</v>
      </c>
      <c r="J9" s="49">
        <v>25.63870138117375</v>
      </c>
      <c r="K9" s="49">
        <v>26.700989816671999</v>
      </c>
      <c r="L9" s="49">
        <v>28.30575777008465</v>
      </c>
      <c r="M9" s="49">
        <v>56.031737996433002</v>
      </c>
      <c r="N9" s="49">
        <v>44.541975305909197</v>
      </c>
      <c r="O9" s="49">
        <v>51.937064081643001</v>
      </c>
      <c r="P9" s="49">
        <v>34.996197937382149</v>
      </c>
      <c r="Q9" s="49">
        <v>52.304989138124498</v>
      </c>
      <c r="R9" s="49">
        <v>43.096588285656352</v>
      </c>
      <c r="S9" s="49">
        <v>42.152755990154049</v>
      </c>
      <c r="T9" s="49">
        <v>27.427074642297001</v>
      </c>
      <c r="U9" s="49">
        <v>17.217762946543399</v>
      </c>
      <c r="V9" s="50">
        <v>25.384986658632851</v>
      </c>
      <c r="W9" s="5">
        <f t="shared" si="0"/>
        <v>35.349774868887067</v>
      </c>
      <c r="AA9" s="48">
        <f t="shared" si="4"/>
        <v>45.977937575794776</v>
      </c>
      <c r="AB9" s="49">
        <f t="shared" si="1"/>
        <v>55.210952930716935</v>
      </c>
      <c r="AC9" s="49">
        <f t="shared" si="1"/>
        <v>42.996235243679564</v>
      </c>
      <c r="AD9" s="49">
        <f t="shared" si="1"/>
        <v>53.355190835803334</v>
      </c>
      <c r="AE9" s="49">
        <f t="shared" si="1"/>
        <v>41.76127431112841</v>
      </c>
      <c r="AF9" s="49">
        <f t="shared" si="1"/>
        <v>28.142887164206989</v>
      </c>
      <c r="AG9" s="49">
        <f t="shared" si="1"/>
        <v>28.598593994035419</v>
      </c>
      <c r="AH9" s="49">
        <f t="shared" si="1"/>
        <v>32.821047812911651</v>
      </c>
      <c r="AI9" s="49">
        <f t="shared" si="1"/>
        <v>34.180922442060869</v>
      </c>
      <c r="AJ9" s="49">
        <f t="shared" si="1"/>
        <v>36.235245121846056</v>
      </c>
      <c r="AK9" s="49">
        <f t="shared" si="1"/>
        <v>71.728295613749026</v>
      </c>
      <c r="AL9" s="49">
        <f t="shared" si="1"/>
        <v>57.019826373509126</v>
      </c>
      <c r="AM9" s="49">
        <f t="shared" si="1"/>
        <v>66.486552424903778</v>
      </c>
      <c r="AN9" s="49">
        <f t="shared" si="1"/>
        <v>44.79992448511274</v>
      </c>
      <c r="AO9" s="49">
        <f t="shared" si="1"/>
        <v>66.957546867672804</v>
      </c>
      <c r="AP9" s="49">
        <f t="shared" si="1"/>
        <v>55.169533108082099</v>
      </c>
      <c r="AQ9" s="49">
        <f t="shared" si="1"/>
        <v>53.961298555266652</v>
      </c>
      <c r="AR9" s="49">
        <f t="shared" si="1"/>
        <v>35.110410422897786</v>
      </c>
      <c r="AS9" s="49">
        <f t="shared" si="1"/>
        <v>22.041093755038258</v>
      </c>
      <c r="AT9" s="50">
        <f t="shared" si="1"/>
        <v>32.496258233457013</v>
      </c>
      <c r="AU9" s="5">
        <f t="shared" si="2"/>
        <v>45.25255136359366</v>
      </c>
      <c r="AY9" s="48">
        <v>54.153911548011997</v>
      </c>
      <c r="AZ9" s="49">
        <v>62.166690394650502</v>
      </c>
      <c r="BA9" s="49">
        <v>58.726863155522501</v>
      </c>
      <c r="BB9" s="49">
        <v>63.288285341860998</v>
      </c>
      <c r="BC9" s="49">
        <v>60.403018583005</v>
      </c>
      <c r="BD9" s="49">
        <v>63.6672329679025</v>
      </c>
      <c r="BE9" s="49">
        <v>58.793109361810998</v>
      </c>
      <c r="BF9" s="49">
        <v>59.043853070184497</v>
      </c>
      <c r="BG9" s="49">
        <v>61.891143157217499</v>
      </c>
      <c r="BH9" s="49">
        <v>63.830840880792501</v>
      </c>
      <c r="BI9" s="49">
        <v>66.823549837298003</v>
      </c>
      <c r="BJ9" s="49">
        <v>79.5128800248375</v>
      </c>
      <c r="BK9" s="49">
        <v>79.808722045283005</v>
      </c>
      <c r="BL9" s="49">
        <v>69.152537750571994</v>
      </c>
      <c r="BM9" s="49">
        <v>67.027397950867496</v>
      </c>
      <c r="BN9" s="49">
        <v>79.658194438797494</v>
      </c>
      <c r="BO9" s="49">
        <v>65.469020949124499</v>
      </c>
      <c r="BP9" s="49">
        <v>51.225523032207001</v>
      </c>
      <c r="BQ9" s="49">
        <v>45.523947292611652</v>
      </c>
      <c r="BR9" s="50">
        <v>53.506866115042001</v>
      </c>
      <c r="BS9" s="5">
        <f t="shared" si="3"/>
        <v>63.183679394879995</v>
      </c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Z9" s="1">
        <v>0.8148633447788165</v>
      </c>
      <c r="DC9" s="1">
        <v>0.83193152418819949</v>
      </c>
      <c r="DD9" s="1">
        <v>0.94540681345617172</v>
      </c>
      <c r="DE9" s="1">
        <v>0.98913310548114652</v>
      </c>
      <c r="DF9" s="1">
        <v>0.99495198778700611</v>
      </c>
    </row>
    <row r="10" spans="3:110" x14ac:dyDescent="0.25">
      <c r="C10" s="48">
        <v>23.313708810823648</v>
      </c>
      <c r="D10" s="49">
        <v>37.280008848003298</v>
      </c>
      <c r="E10" s="49">
        <v>34.131005922808797</v>
      </c>
      <c r="F10" s="49">
        <v>30.593524940299101</v>
      </c>
      <c r="G10" s="49">
        <v>32.977866351805702</v>
      </c>
      <c r="H10" s="49">
        <v>28.54987127068085</v>
      </c>
      <c r="I10" s="49">
        <v>32.608055049344003</v>
      </c>
      <c r="J10" s="49">
        <v>31.477980460309698</v>
      </c>
      <c r="K10" s="49">
        <v>47.861891966159199</v>
      </c>
      <c r="L10" s="49">
        <v>35.631264776069351</v>
      </c>
      <c r="M10" s="49">
        <v>46.605220437567603</v>
      </c>
      <c r="N10" s="49">
        <v>62.765196248604497</v>
      </c>
      <c r="O10" s="49">
        <v>63.319541676127002</v>
      </c>
      <c r="P10" s="49">
        <v>65.251256199493</v>
      </c>
      <c r="Q10" s="49">
        <v>61.831162161083</v>
      </c>
      <c r="R10" s="49">
        <v>52.352766718279497</v>
      </c>
      <c r="S10" s="49">
        <v>43.2911070120308</v>
      </c>
      <c r="T10" s="49">
        <v>41.287755162429448</v>
      </c>
      <c r="U10" s="49">
        <v>42.363370027827699</v>
      </c>
      <c r="V10" s="50">
        <v>41.053660287724597</v>
      </c>
      <c r="W10" s="5">
        <f t="shared" si="0"/>
        <v>42.727310716373545</v>
      </c>
      <c r="AA10" s="48">
        <f t="shared" si="4"/>
        <v>29.844739021696597</v>
      </c>
      <c r="AB10" s="49">
        <f t="shared" si="1"/>
        <v>47.723515113933992</v>
      </c>
      <c r="AC10" s="49">
        <f t="shared" si="1"/>
        <v>43.692360258068362</v>
      </c>
      <c r="AD10" s="49">
        <f t="shared" si="1"/>
        <v>39.163900304575151</v>
      </c>
      <c r="AE10" s="49">
        <f t="shared" si="1"/>
        <v>42.216183737574077</v>
      </c>
      <c r="AF10" s="49">
        <f t="shared" si="1"/>
        <v>36.547743822764204</v>
      </c>
      <c r="AG10" s="49">
        <f t="shared" si="1"/>
        <v>41.742774641715464</v>
      </c>
      <c r="AH10" s="49">
        <f t="shared" si="1"/>
        <v>40.296124455833329</v>
      </c>
      <c r="AI10" s="49">
        <f t="shared" si="1"/>
        <v>61.269774209048016</v>
      </c>
      <c r="AJ10" s="49">
        <f t="shared" si="1"/>
        <v>45.612896981927747</v>
      </c>
      <c r="AK10" s="49">
        <f t="shared" si="1"/>
        <v>59.66106260888423</v>
      </c>
      <c r="AL10" s="49">
        <f t="shared" si="1"/>
        <v>80.348044015009421</v>
      </c>
      <c r="AM10" s="49">
        <f t="shared" si="1"/>
        <v>81.057682054436214</v>
      </c>
      <c r="AN10" s="49">
        <f t="shared" si="1"/>
        <v>83.530541104108906</v>
      </c>
      <c r="AO10" s="49">
        <f t="shared" si="1"/>
        <v>79.152352509824894</v>
      </c>
      <c r="AP10" s="49">
        <f t="shared" si="1"/>
        <v>67.018708711220924</v>
      </c>
      <c r="AQ10" s="49">
        <f t="shared" si="1"/>
        <v>55.41854370826524</v>
      </c>
      <c r="AR10" s="49">
        <f t="shared" si="1"/>
        <v>52.853979073562947</v>
      </c>
      <c r="AS10" s="49">
        <f t="shared" si="1"/>
        <v>54.23091335742793</v>
      </c>
      <c r="AT10" s="50">
        <f t="shared" si="1"/>
        <v>52.554305585377342</v>
      </c>
      <c r="AU10" s="5">
        <f t="shared" si="2"/>
        <v>54.69680726376275</v>
      </c>
      <c r="AY10" s="48">
        <v>51.406304630144</v>
      </c>
      <c r="AZ10" s="49">
        <v>65.422352915968006</v>
      </c>
      <c r="BA10" s="49">
        <v>64.154608614800495</v>
      </c>
      <c r="BB10" s="49">
        <v>53.181710701059998</v>
      </c>
      <c r="BC10" s="49">
        <v>49.798537957565252</v>
      </c>
      <c r="BD10" s="49">
        <v>56.408633729636499</v>
      </c>
      <c r="BE10" s="49">
        <v>61.102840548284</v>
      </c>
      <c r="BF10" s="49">
        <v>67.479267301603997</v>
      </c>
      <c r="BG10" s="49">
        <v>79.748212563912503</v>
      </c>
      <c r="BH10" s="49">
        <v>71.144629419807501</v>
      </c>
      <c r="BI10" s="49">
        <v>69.915212081342503</v>
      </c>
      <c r="BJ10" s="49">
        <v>77.134115043565998</v>
      </c>
      <c r="BK10" s="49">
        <v>77.246888138027003</v>
      </c>
      <c r="BL10" s="49">
        <v>73.268652625683004</v>
      </c>
      <c r="BM10" s="49">
        <v>71.622086007817501</v>
      </c>
      <c r="BN10" s="49">
        <v>66.513830515989994</v>
      </c>
      <c r="BO10" s="49">
        <v>67.616631751807503</v>
      </c>
      <c r="BP10" s="49">
        <v>50.832799850518498</v>
      </c>
      <c r="BQ10" s="49">
        <v>48.352620893268352</v>
      </c>
      <c r="BR10" s="50">
        <v>42.6258791413414</v>
      </c>
      <c r="BS10" s="5">
        <f t="shared" si="3"/>
        <v>63.2487907216072</v>
      </c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Z10" s="1">
        <v>0.81514744033906716</v>
      </c>
      <c r="DC10" s="1">
        <v>0.83329665720759771</v>
      </c>
      <c r="DD10" s="1">
        <v>0.94620288110615303</v>
      </c>
      <c r="DE10" s="1">
        <v>0.98903730676131552</v>
      </c>
      <c r="DF10" s="1">
        <v>0.99492559682342274</v>
      </c>
    </row>
    <row r="11" spans="3:110" x14ac:dyDescent="0.25">
      <c r="C11" s="48">
        <v>19.0058807411225</v>
      </c>
      <c r="D11" s="49">
        <v>21.534821916804649</v>
      </c>
      <c r="E11" s="49">
        <v>21.132327144910999</v>
      </c>
      <c r="F11" s="49">
        <v>21.368006173023751</v>
      </c>
      <c r="G11" s="49">
        <v>26.065443826496999</v>
      </c>
      <c r="H11" s="49">
        <v>30.5931005299351</v>
      </c>
      <c r="I11" s="49">
        <v>31.8460637540785</v>
      </c>
      <c r="J11" s="49">
        <v>60.317271482233998</v>
      </c>
      <c r="K11" s="49">
        <v>47.201754799394301</v>
      </c>
      <c r="L11" s="49">
        <v>49.480480289906353</v>
      </c>
      <c r="M11" s="49">
        <v>50.180305052053001</v>
      </c>
      <c r="N11" s="49">
        <v>73.260680449896498</v>
      </c>
      <c r="O11" s="49">
        <v>75.263118102535998</v>
      </c>
      <c r="P11" s="49">
        <v>65.278236588476503</v>
      </c>
      <c r="Q11" s="49">
        <v>56.952110238065998</v>
      </c>
      <c r="R11" s="49">
        <v>56.695360534547497</v>
      </c>
      <c r="S11" s="49">
        <v>51.547292728923999</v>
      </c>
      <c r="T11" s="49">
        <v>28.207737286577299</v>
      </c>
      <c r="U11" s="49">
        <v>26.572879831383698</v>
      </c>
      <c r="V11" s="50">
        <v>18.724751527652501</v>
      </c>
      <c r="W11" s="5">
        <f t="shared" si="0"/>
        <v>41.56138114990101</v>
      </c>
      <c r="AA11" s="48">
        <f t="shared" si="4"/>
        <v>24.330129332873444</v>
      </c>
      <c r="AB11" s="49">
        <f t="shared" si="1"/>
        <v>27.567520260327075</v>
      </c>
      <c r="AC11" s="49">
        <f t="shared" si="1"/>
        <v>27.052271849092463</v>
      </c>
      <c r="AD11" s="49">
        <f t="shared" si="1"/>
        <v>27.353973270517383</v>
      </c>
      <c r="AE11" s="49">
        <f t="shared" si="1"/>
        <v>33.367336565743642</v>
      </c>
      <c r="AF11" s="49">
        <f t="shared" si="1"/>
        <v>39.163357001205682</v>
      </c>
      <c r="AG11" s="49">
        <f t="shared" si="1"/>
        <v>40.767321463993454</v>
      </c>
      <c r="AH11" s="49">
        <f t="shared" si="1"/>
        <v>77.214365182958588</v>
      </c>
      <c r="AI11" s="49">
        <f t="shared" si="1"/>
        <v>60.424708260061216</v>
      </c>
      <c r="AJ11" s="49">
        <f t="shared" si="1"/>
        <v>63.341788854927628</v>
      </c>
      <c r="AK11" s="49">
        <f t="shared" si="1"/>
        <v>64.237660359400181</v>
      </c>
      <c r="AL11" s="49">
        <f t="shared" si="1"/>
        <v>93.783700668166077</v>
      </c>
      <c r="AM11" s="49">
        <f t="shared" si="1"/>
        <v>96.347095005599812</v>
      </c>
      <c r="AN11" s="49">
        <f t="shared" si="1"/>
        <v>83.56507969573542</v>
      </c>
      <c r="AO11" s="49">
        <f t="shared" si="1"/>
        <v>72.906498085832666</v>
      </c>
      <c r="AP11" s="49">
        <f t="shared" si="1"/>
        <v>72.57782331522516</v>
      </c>
      <c r="AQ11" s="49">
        <f t="shared" si="1"/>
        <v>65.987591732101791</v>
      </c>
      <c r="AR11" s="49">
        <f t="shared" si="1"/>
        <v>36.10976548354418</v>
      </c>
      <c r="AS11" s="49">
        <f t="shared" si="1"/>
        <v>34.016924122101258</v>
      </c>
      <c r="AT11" s="50">
        <f t="shared" si="1"/>
        <v>23.970245451871563</v>
      </c>
      <c r="AU11" s="5">
        <f t="shared" si="2"/>
        <v>53.204257798063928</v>
      </c>
      <c r="AY11" s="48">
        <v>25.613155488088051</v>
      </c>
      <c r="AZ11" s="49">
        <v>33.0346505674827</v>
      </c>
      <c r="BA11" s="49">
        <v>38.094411849310703</v>
      </c>
      <c r="BB11" s="49">
        <v>37.7158368113584</v>
      </c>
      <c r="BC11" s="49">
        <v>46.507256862486301</v>
      </c>
      <c r="BD11" s="49">
        <v>52.256061341943997</v>
      </c>
      <c r="BE11" s="49">
        <v>61.691819918248001</v>
      </c>
      <c r="BF11" s="49">
        <v>73.628474332273001</v>
      </c>
      <c r="BG11" s="49">
        <v>65.433221472766505</v>
      </c>
      <c r="BH11" s="49">
        <v>71.810162061564995</v>
      </c>
      <c r="BI11" s="49">
        <v>78.322970341718502</v>
      </c>
      <c r="BJ11" s="49">
        <v>80.887329205306997</v>
      </c>
      <c r="BK11" s="49">
        <v>82.254264091181</v>
      </c>
      <c r="BL11" s="49">
        <v>70.170236416072498</v>
      </c>
      <c r="BM11" s="49">
        <v>48.153483240932751</v>
      </c>
      <c r="BN11" s="49">
        <v>55.553425632230997</v>
      </c>
      <c r="BO11" s="49">
        <v>66.146979279015497</v>
      </c>
      <c r="BP11" s="49">
        <v>26.5851365945223</v>
      </c>
      <c r="BQ11" s="49">
        <v>34.674052215381401</v>
      </c>
      <c r="BR11" s="50">
        <v>35.078880459256148</v>
      </c>
      <c r="BS11" s="5">
        <f t="shared" si="3"/>
        <v>54.180590409057039</v>
      </c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Z11" s="1">
        <v>0.81542620044354175</v>
      </c>
      <c r="DC11" s="1">
        <v>0.83466405887825501</v>
      </c>
      <c r="DD11" s="1">
        <v>0.94699591851802722</v>
      </c>
      <c r="DE11" s="1">
        <v>0.9889322550498284</v>
      </c>
      <c r="DF11" s="1">
        <v>0.99489032606624306</v>
      </c>
    </row>
    <row r="12" spans="3:110" x14ac:dyDescent="0.25">
      <c r="C12" s="48">
        <v>15.33599152951065</v>
      </c>
      <c r="D12" s="49">
        <v>22.154682774128549</v>
      </c>
      <c r="E12" s="49">
        <v>21.855073478855601</v>
      </c>
      <c r="F12" s="49">
        <v>28.835667979324398</v>
      </c>
      <c r="G12" s="49">
        <v>29.9264678284265</v>
      </c>
      <c r="H12" s="49">
        <v>33.309236286477002</v>
      </c>
      <c r="I12" s="49">
        <v>47.915439161037952</v>
      </c>
      <c r="J12" s="49">
        <v>56.938089868623003</v>
      </c>
      <c r="K12" s="49">
        <v>45.126533427644347</v>
      </c>
      <c r="L12" s="49">
        <v>35.088942806656149</v>
      </c>
      <c r="M12" s="49">
        <v>78.116644926514496</v>
      </c>
      <c r="N12" s="49">
        <v>66.633192112713502</v>
      </c>
      <c r="O12" s="49">
        <v>57.749589556974001</v>
      </c>
      <c r="P12" s="49">
        <v>51.329156412770502</v>
      </c>
      <c r="Q12" s="49">
        <v>48.188142614285702</v>
      </c>
      <c r="R12" s="49">
        <v>38.843391101512999</v>
      </c>
      <c r="S12" s="49">
        <v>26.649207277421649</v>
      </c>
      <c r="T12" s="49">
        <v>27.104721369363052</v>
      </c>
      <c r="U12" s="49">
        <v>20.852904355612349</v>
      </c>
      <c r="V12" s="50">
        <v>18.1510638003768</v>
      </c>
      <c r="W12" s="5">
        <f t="shared" si="0"/>
        <v>38.505206933411465</v>
      </c>
      <c r="AA12" s="48">
        <f t="shared" si="4"/>
        <v>19.632168718891407</v>
      </c>
      <c r="AB12" s="49">
        <f t="shared" si="1"/>
        <v>28.361027019234879</v>
      </c>
      <c r="AC12" s="49">
        <f t="shared" si="1"/>
        <v>27.977486103525052</v>
      </c>
      <c r="AD12" s="49">
        <f t="shared" si="1"/>
        <v>36.913602736587755</v>
      </c>
      <c r="AE12" s="49">
        <f t="shared" si="1"/>
        <v>38.309975878481183</v>
      </c>
      <c r="AF12" s="49">
        <f t="shared" si="1"/>
        <v>42.64038261987762</v>
      </c>
      <c r="AG12" s="49">
        <f t="shared" si="1"/>
        <v>61.338321949326833</v>
      </c>
      <c r="AH12" s="49">
        <f t="shared" si="1"/>
        <v>72.888550093498665</v>
      </c>
      <c r="AI12" s="49">
        <f t="shared" si="1"/>
        <v>57.768140797771785</v>
      </c>
      <c r="AJ12" s="49">
        <f t="shared" si="1"/>
        <v>44.918650614942365</v>
      </c>
      <c r="AK12" s="49">
        <f t="shared" si="1"/>
        <v>99.999999999999986</v>
      </c>
      <c r="AL12" s="49">
        <f t="shared" si="1"/>
        <v>85.299608265813703</v>
      </c>
      <c r="AM12" s="49">
        <f t="shared" si="1"/>
        <v>73.927380792275329</v>
      </c>
      <c r="AN12" s="49">
        <f t="shared" si="1"/>
        <v>65.708347383655052</v>
      </c>
      <c r="AO12" s="49">
        <f t="shared" si="1"/>
        <v>61.687419703722568</v>
      </c>
      <c r="AP12" s="49">
        <f t="shared" si="1"/>
        <v>49.724858431968705</v>
      </c>
      <c r="AQ12" s="49">
        <f t="shared" si="1"/>
        <v>34.114633702575112</v>
      </c>
      <c r="AR12" s="49">
        <f t="shared" si="1"/>
        <v>34.697754102036598</v>
      </c>
      <c r="AS12" s="49">
        <f t="shared" si="1"/>
        <v>26.694572424646488</v>
      </c>
      <c r="AT12" s="50">
        <f t="shared" si="1"/>
        <v>23.235846620719283</v>
      </c>
      <c r="AU12" s="5">
        <f t="shared" si="2"/>
        <v>49.291936397977523</v>
      </c>
      <c r="AY12" s="48">
        <v>26.31474461650615</v>
      </c>
      <c r="AZ12" s="49">
        <v>38.14442811486775</v>
      </c>
      <c r="BA12" s="49">
        <v>36.282154095757498</v>
      </c>
      <c r="BB12" s="49">
        <v>49.787802380111152</v>
      </c>
      <c r="BC12" s="49">
        <v>60.877045825188503</v>
      </c>
      <c r="BD12" s="49">
        <v>69.920169255807494</v>
      </c>
      <c r="BE12" s="49">
        <v>68.361798996859505</v>
      </c>
      <c r="BF12" s="49">
        <v>75.244284005519006</v>
      </c>
      <c r="BG12" s="49">
        <v>73.631048443412496</v>
      </c>
      <c r="BH12" s="49">
        <v>68.856691135435995</v>
      </c>
      <c r="BI12" s="49">
        <v>75.564876493991505</v>
      </c>
      <c r="BJ12" s="49">
        <v>72.982118884345496</v>
      </c>
      <c r="BK12" s="49">
        <v>64.073293888447495</v>
      </c>
      <c r="BL12" s="49">
        <v>49.245150110104248</v>
      </c>
      <c r="BM12" s="49">
        <v>37.566306532687001</v>
      </c>
      <c r="BN12" s="49">
        <v>47.852795141481501</v>
      </c>
      <c r="BO12" s="49">
        <v>37.594817595915451</v>
      </c>
      <c r="BP12" s="49">
        <v>36.846402100803203</v>
      </c>
      <c r="BQ12" s="49">
        <v>38.814665764364698</v>
      </c>
      <c r="BR12" s="50">
        <v>32.206363911716103</v>
      </c>
      <c r="BS12" s="5">
        <f t="shared" si="3"/>
        <v>53.008347864666106</v>
      </c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Z12" s="1">
        <v>0.81569950186354523</v>
      </c>
      <c r="DC12" s="1">
        <v>0.83603365632880466</v>
      </c>
      <c r="DD12" s="1">
        <v>0.947785802196217</v>
      </c>
      <c r="DE12" s="1">
        <v>0.98881778624937233</v>
      </c>
      <c r="DF12" s="1">
        <v>0.99484601251108307</v>
      </c>
    </row>
    <row r="13" spans="3:110" x14ac:dyDescent="0.25">
      <c r="C13" s="48">
        <v>18.214839929499149</v>
      </c>
      <c r="D13" s="49">
        <v>23.582345507498552</v>
      </c>
      <c r="E13" s="49">
        <v>31.15699480955265</v>
      </c>
      <c r="F13" s="49">
        <v>35.708497450927048</v>
      </c>
      <c r="G13" s="49">
        <v>46.567816417975948</v>
      </c>
      <c r="H13" s="49">
        <v>47.70246959148885</v>
      </c>
      <c r="I13" s="49">
        <v>44.483952472530298</v>
      </c>
      <c r="J13" s="49">
        <v>41.013242798820897</v>
      </c>
      <c r="K13" s="49">
        <v>37.9189048301794</v>
      </c>
      <c r="L13" s="49">
        <v>30.52682109043495</v>
      </c>
      <c r="M13" s="49">
        <v>55.257475004821501</v>
      </c>
      <c r="N13" s="49">
        <v>52.927278071682501</v>
      </c>
      <c r="O13" s="49">
        <v>76.913022272128998</v>
      </c>
      <c r="P13" s="49">
        <v>48.15819309089715</v>
      </c>
      <c r="Q13" s="49">
        <v>46.754664367350749</v>
      </c>
      <c r="R13" s="49">
        <v>37.378667199895801</v>
      </c>
      <c r="S13" s="49">
        <v>26.407685917363199</v>
      </c>
      <c r="T13" s="49">
        <v>37.593450161112102</v>
      </c>
      <c r="U13" s="49">
        <v>49.819893541271703</v>
      </c>
      <c r="V13" s="50">
        <v>38.0195056292605</v>
      </c>
      <c r="W13" s="5">
        <f t="shared" si="0"/>
        <v>41.305286007734594</v>
      </c>
      <c r="AA13" s="48">
        <f t="shared" si="4"/>
        <v>23.317488797213606</v>
      </c>
      <c r="AB13" s="49">
        <f t="shared" si="1"/>
        <v>30.188630770923172</v>
      </c>
      <c r="AC13" s="49">
        <f t="shared" si="1"/>
        <v>39.885218878591751</v>
      </c>
      <c r="AD13" s="49">
        <f t="shared" si="1"/>
        <v>45.711765379220481</v>
      </c>
      <c r="AE13" s="49">
        <f t="shared" si="1"/>
        <v>59.613180343040831</v>
      </c>
      <c r="AF13" s="49">
        <f t="shared" si="1"/>
        <v>61.065691743882851</v>
      </c>
      <c r="AG13" s="49">
        <f t="shared" si="1"/>
        <v>56.945549203216572</v>
      </c>
      <c r="AH13" s="49">
        <f t="shared" si="1"/>
        <v>52.502565666258029</v>
      </c>
      <c r="AI13" s="49">
        <f t="shared" si="1"/>
        <v>48.541389438640486</v>
      </c>
      <c r="AJ13" s="49">
        <f t="shared" si="1"/>
        <v>39.078510244714153</v>
      </c>
      <c r="AK13" s="49">
        <f t="shared" si="1"/>
        <v>70.737132984657791</v>
      </c>
      <c r="AL13" s="49">
        <f t="shared" si="1"/>
        <v>67.754161896574004</v>
      </c>
      <c r="AM13" s="49">
        <f t="shared" si="1"/>
        <v>98.459198221431848</v>
      </c>
      <c r="AN13" s="49">
        <f t="shared" si="1"/>
        <v>61.64908021357072</v>
      </c>
      <c r="AO13" s="49">
        <f t="shared" si="1"/>
        <v>59.852371298503108</v>
      </c>
      <c r="AP13" s="49">
        <f t="shared" si="1"/>
        <v>47.849811311095699</v>
      </c>
      <c r="AQ13" s="49">
        <f t="shared" si="1"/>
        <v>33.805453296420126</v>
      </c>
      <c r="AR13" s="49">
        <f t="shared" si="1"/>
        <v>48.124762906134571</v>
      </c>
      <c r="AS13" s="49">
        <f t="shared" si="1"/>
        <v>63.776284283763111</v>
      </c>
      <c r="AT13" s="50">
        <f t="shared" si="1"/>
        <v>48.670172234132714</v>
      </c>
      <c r="AU13" s="5">
        <f t="shared" si="2"/>
        <v>52.876420955599279</v>
      </c>
      <c r="AY13" s="48">
        <v>56.839366574610501</v>
      </c>
      <c r="AZ13" s="49">
        <v>52.115823824265497</v>
      </c>
      <c r="BA13" s="49">
        <v>62.448372779162497</v>
      </c>
      <c r="BB13" s="49">
        <v>62.461950295362499</v>
      </c>
      <c r="BC13" s="49">
        <v>74.364264299882507</v>
      </c>
      <c r="BD13" s="49">
        <v>75.265854961971499</v>
      </c>
      <c r="BE13" s="49">
        <v>73.718706023336495</v>
      </c>
      <c r="BF13" s="49">
        <v>75.608592346388505</v>
      </c>
      <c r="BG13" s="49">
        <v>69.550711844242997</v>
      </c>
      <c r="BH13" s="49">
        <v>60.847939551713502</v>
      </c>
      <c r="BI13" s="49">
        <v>64.954034274234502</v>
      </c>
      <c r="BJ13" s="49">
        <v>67.129323442481507</v>
      </c>
      <c r="BK13" s="49">
        <v>65.867013777688996</v>
      </c>
      <c r="BL13" s="49">
        <v>58.587700019572502</v>
      </c>
      <c r="BM13" s="49">
        <v>45.908357373098397</v>
      </c>
      <c r="BN13" s="49">
        <v>41.895469956375052</v>
      </c>
      <c r="BO13" s="49">
        <v>45.29551806102495</v>
      </c>
      <c r="BP13" s="49">
        <v>58.369241344358997</v>
      </c>
      <c r="BQ13" s="49">
        <v>74.067984236631503</v>
      </c>
      <c r="BR13" s="50">
        <v>53.120761298105002</v>
      </c>
      <c r="BS13" s="5">
        <f t="shared" si="3"/>
        <v>61.920849314225379</v>
      </c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Z13" s="1">
        <v>0.81596721921323334</v>
      </c>
      <c r="DC13" s="1">
        <v>0.83740537449208541</v>
      </c>
      <c r="DD13" s="1">
        <v>0.94857240609027393</v>
      </c>
      <c r="DE13" s="1">
        <v>0.98869373375449332</v>
      </c>
      <c r="DF13" s="1">
        <v>0.99479249060926866</v>
      </c>
    </row>
    <row r="14" spans="3:110" x14ac:dyDescent="0.25">
      <c r="C14" s="48">
        <v>37.617041433429399</v>
      </c>
      <c r="D14" s="49">
        <v>36.737807132103903</v>
      </c>
      <c r="E14" s="49">
        <v>39.382091420650248</v>
      </c>
      <c r="F14" s="49">
        <v>50.069225107360502</v>
      </c>
      <c r="G14" s="49">
        <v>61.568164004789999</v>
      </c>
      <c r="H14" s="49">
        <v>47.5231491433806</v>
      </c>
      <c r="I14" s="49">
        <v>34.361570574156552</v>
      </c>
      <c r="J14" s="49">
        <v>37.790135142865701</v>
      </c>
      <c r="K14" s="49">
        <v>43.348764310749502</v>
      </c>
      <c r="L14" s="49">
        <v>36.795081118353202</v>
      </c>
      <c r="M14" s="49">
        <v>39.54516913579225</v>
      </c>
      <c r="N14" s="49">
        <v>48.838736361342647</v>
      </c>
      <c r="O14" s="49">
        <v>29.542602864213251</v>
      </c>
      <c r="P14" s="49">
        <v>25.20886197363545</v>
      </c>
      <c r="Q14" s="49">
        <v>41.349961666091303</v>
      </c>
      <c r="R14" s="49">
        <v>47.89398799011385</v>
      </c>
      <c r="S14" s="49">
        <v>40.693649311740302</v>
      </c>
      <c r="T14" s="49">
        <v>48.47983537023115</v>
      </c>
      <c r="U14" s="49">
        <v>35.716081911135298</v>
      </c>
      <c r="V14" s="50">
        <v>30.177274072729752</v>
      </c>
      <c r="W14" s="5">
        <f t="shared" si="0"/>
        <v>40.631959502243248</v>
      </c>
      <c r="AA14" s="48">
        <f t="shared" si="4"/>
        <v>48.154962964444152</v>
      </c>
      <c r="AB14" s="49">
        <f t="shared" si="1"/>
        <v>47.029422687909481</v>
      </c>
      <c r="AC14" s="49">
        <f t="shared" si="1"/>
        <v>50.414468590781865</v>
      </c>
      <c r="AD14" s="49">
        <f t="shared" si="1"/>
        <v>64.095462822886688</v>
      </c>
      <c r="AE14" s="49">
        <f t="shared" si="1"/>
        <v>78.815678864226811</v>
      </c>
      <c r="AF14" s="49">
        <f t="shared" si="1"/>
        <v>60.836137020588041</v>
      </c>
      <c r="AG14" s="49">
        <f t="shared" si="1"/>
        <v>43.987514577054604</v>
      </c>
      <c r="AH14" s="49">
        <f t="shared" si="1"/>
        <v>48.376546609772404</v>
      </c>
      <c r="AI14" s="49">
        <f t="shared" si="1"/>
        <v>55.492352944149523</v>
      </c>
      <c r="AJ14" s="49">
        <f t="shared" si="1"/>
        <v>47.102741231355857</v>
      </c>
      <c r="AK14" s="49">
        <f t="shared" si="1"/>
        <v>50.62323039218208</v>
      </c>
      <c r="AL14" s="49">
        <f t="shared" si="1"/>
        <v>62.520268768949279</v>
      </c>
      <c r="AM14" s="49">
        <f t="shared" si="1"/>
        <v>37.818576171575749</v>
      </c>
      <c r="AN14" s="49">
        <f t="shared" si="1"/>
        <v>32.270794524457372</v>
      </c>
      <c r="AO14" s="49">
        <f t="shared" si="1"/>
        <v>52.933611914579579</v>
      </c>
      <c r="AP14" s="49">
        <f t="shared" si="1"/>
        <v>61.310861513789334</v>
      </c>
      <c r="AQ14" s="49">
        <f t="shared" si="1"/>
        <v>52.093442249115313</v>
      </c>
      <c r="AR14" s="49">
        <f t="shared" si="1"/>
        <v>62.060826365285983</v>
      </c>
      <c r="AS14" s="49">
        <f t="shared" si="1"/>
        <v>45.721474526631233</v>
      </c>
      <c r="AT14" s="50">
        <f t="shared" si="1"/>
        <v>38.631042207608843</v>
      </c>
      <c r="AU14" s="5">
        <f t="shared" si="2"/>
        <v>52.014470847367214</v>
      </c>
      <c r="AY14" s="48">
        <v>54.471344360758003</v>
      </c>
      <c r="AZ14" s="49">
        <v>48.099973762473503</v>
      </c>
      <c r="BA14" s="49">
        <v>70.332937455526505</v>
      </c>
      <c r="BB14" s="49">
        <v>64.9867130274435</v>
      </c>
      <c r="BC14" s="49">
        <v>82.455919108374999</v>
      </c>
      <c r="BD14" s="49">
        <v>84.136191723398994</v>
      </c>
      <c r="BE14" s="49">
        <v>67.563820115455499</v>
      </c>
      <c r="BF14" s="49">
        <v>70.183485424433002</v>
      </c>
      <c r="BG14" s="49">
        <v>68.856538364982001</v>
      </c>
      <c r="BH14" s="49">
        <v>70.389387516866506</v>
      </c>
      <c r="BI14" s="49">
        <v>46.486548010906148</v>
      </c>
      <c r="BJ14" s="49">
        <v>42.023761439831802</v>
      </c>
      <c r="BK14" s="49">
        <v>32.234385426515303</v>
      </c>
      <c r="BL14" s="49">
        <v>31.745221529411548</v>
      </c>
      <c r="BM14" s="49">
        <v>36.900857976604897</v>
      </c>
      <c r="BN14" s="49">
        <v>39.274388625972648</v>
      </c>
      <c r="BO14" s="49">
        <v>52.461857853661002</v>
      </c>
      <c r="BP14" s="49">
        <v>61.565837951860999</v>
      </c>
      <c r="BQ14" s="49">
        <v>70.314871214980499</v>
      </c>
      <c r="BR14" s="50">
        <v>66.304880185585006</v>
      </c>
      <c r="BS14" s="5">
        <f t="shared" si="3"/>
        <v>58.039446053752123</v>
      </c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Z14" s="1">
        <v>0.81622922491754879</v>
      </c>
      <c r="DC14" s="1">
        <v>0.83877913605755217</v>
      </c>
      <c r="DD14" s="1">
        <v>0.94935560155053056</v>
      </c>
      <c r="DE14" s="1">
        <v>0.98855992842023288</v>
      </c>
      <c r="DF14" s="1">
        <v>0.99472959223502488</v>
      </c>
    </row>
    <row r="15" spans="3:110" x14ac:dyDescent="0.25">
      <c r="C15" s="48">
        <v>52.864629311450997</v>
      </c>
      <c r="D15" s="49">
        <v>41.039190872800447</v>
      </c>
      <c r="E15" s="49">
        <v>25.515493550176348</v>
      </c>
      <c r="F15" s="49">
        <v>24.941921436708551</v>
      </c>
      <c r="G15" s="49">
        <v>34.424937963918602</v>
      </c>
      <c r="H15" s="49">
        <v>30.186452387646</v>
      </c>
      <c r="I15" s="49">
        <v>37.7847640078963</v>
      </c>
      <c r="J15" s="49">
        <v>34.33409961914645</v>
      </c>
      <c r="K15" s="49">
        <v>34.9543527753397</v>
      </c>
      <c r="L15" s="49">
        <v>50.779747570959501</v>
      </c>
      <c r="M15" s="49">
        <v>45.415418757134603</v>
      </c>
      <c r="N15" s="49">
        <v>38.09896767081775</v>
      </c>
      <c r="O15" s="49">
        <v>26.375662419189648</v>
      </c>
      <c r="P15" s="49">
        <v>25.154583201563899</v>
      </c>
      <c r="Q15" s="49">
        <v>36.464517056383748</v>
      </c>
      <c r="R15" s="49">
        <v>20.644177766255599</v>
      </c>
      <c r="S15" s="49">
        <v>21.791445473803449</v>
      </c>
      <c r="T15" s="49">
        <v>24.031184806051499</v>
      </c>
      <c r="U15" s="49">
        <v>19.92090466557455</v>
      </c>
      <c r="V15" s="50">
        <v>21.5036336232826</v>
      </c>
      <c r="W15" s="5">
        <f t="shared" si="0"/>
        <v>32.311304246805015</v>
      </c>
      <c r="AA15" s="48">
        <f t="shared" si="4"/>
        <v>67.67396290660146</v>
      </c>
      <c r="AB15" s="49">
        <f t="shared" si="1"/>
        <v>52.535782753351256</v>
      </c>
      <c r="AC15" s="49">
        <f t="shared" si="1"/>
        <v>32.663324921569732</v>
      </c>
      <c r="AD15" s="49">
        <f t="shared" si="1"/>
        <v>31.929074091919578</v>
      </c>
      <c r="AE15" s="49">
        <f t="shared" si="1"/>
        <v>44.068633511209626</v>
      </c>
      <c r="AF15" s="49">
        <f t="shared" si="1"/>
        <v>38.642791707251185</v>
      </c>
      <c r="AG15" s="49">
        <f t="shared" si="1"/>
        <v>48.369670821680828</v>
      </c>
      <c r="AH15" s="49">
        <f t="shared" si="1"/>
        <v>43.952347993753513</v>
      </c>
      <c r="AI15" s="49">
        <f t="shared" si="1"/>
        <v>44.746356948921431</v>
      </c>
      <c r="AJ15" s="49">
        <f t="shared" si="1"/>
        <v>65.005028849778142</v>
      </c>
      <c r="AK15" s="49">
        <f t="shared" si="1"/>
        <v>58.137953569124186</v>
      </c>
      <c r="AL15" s="49">
        <f t="shared" si="1"/>
        <v>48.771894526010456</v>
      </c>
      <c r="AM15" s="49">
        <f t="shared" si="1"/>
        <v>33.764458834607694</v>
      </c>
      <c r="AN15" s="49">
        <f t="shared" si="1"/>
        <v>32.20131026521581</v>
      </c>
      <c r="AO15" s="49">
        <f t="shared" si="1"/>
        <v>46.679573976438014</v>
      </c>
      <c r="AP15" s="49">
        <f t="shared" si="1"/>
        <v>26.427373814730377</v>
      </c>
      <c r="AQ15" s="49">
        <f t="shared" si="1"/>
        <v>27.89603354611938</v>
      </c>
      <c r="AR15" s="49">
        <f t="shared" si="1"/>
        <v>30.76320652104042</v>
      </c>
      <c r="AS15" s="49">
        <f t="shared" si="1"/>
        <v>25.501485226758579</v>
      </c>
      <c r="AT15" s="50">
        <f t="shared" si="1"/>
        <v>27.527594974811564</v>
      </c>
      <c r="AU15" s="5">
        <f t="shared" si="2"/>
        <v>41.362892988044663</v>
      </c>
      <c r="AY15" s="48">
        <v>59.8648975456965</v>
      </c>
      <c r="AZ15" s="49">
        <v>58.9911124709405</v>
      </c>
      <c r="BA15" s="49">
        <v>55.292834759510498</v>
      </c>
      <c r="BB15" s="49">
        <v>50.678352152087001</v>
      </c>
      <c r="BC15" s="49">
        <v>57.8270732023215</v>
      </c>
      <c r="BD15" s="49">
        <v>62.153698630082502</v>
      </c>
      <c r="BE15" s="49">
        <v>68.535678354762496</v>
      </c>
      <c r="BF15" s="49">
        <v>74.110885427066506</v>
      </c>
      <c r="BG15" s="49">
        <v>72.117546225223506</v>
      </c>
      <c r="BH15" s="49">
        <v>66.154449452205</v>
      </c>
      <c r="BI15" s="49">
        <v>57.524361353399001</v>
      </c>
      <c r="BJ15" s="49">
        <v>56.533669763397498</v>
      </c>
      <c r="BK15" s="49">
        <v>52.385497274615503</v>
      </c>
      <c r="BL15" s="49">
        <v>36.661709312097052</v>
      </c>
      <c r="BM15" s="49">
        <v>42.414447193016798</v>
      </c>
      <c r="BN15" s="49">
        <v>39.289522508168503</v>
      </c>
      <c r="BO15" s="49">
        <v>42.355674761947753</v>
      </c>
      <c r="BP15" s="49">
        <v>45.53281996908575</v>
      </c>
      <c r="BQ15" s="49">
        <v>36.508148329090702</v>
      </c>
      <c r="BR15" s="50">
        <v>26.7990176854046</v>
      </c>
      <c r="BS15" s="5">
        <f t="shared" si="3"/>
        <v>53.08656981850595</v>
      </c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Z15" s="1">
        <v>0.81648538917989177</v>
      </c>
      <c r="DC15" s="1">
        <v>0.84015486142285123</v>
      </c>
      <c r="DD15" s="1">
        <v>0.95013525728315296</v>
      </c>
      <c r="DE15" s="1">
        <v>0.9884161985306994</v>
      </c>
      <c r="DF15" s="1">
        <v>0.99465714665258698</v>
      </c>
    </row>
    <row r="16" spans="3:110" ht="15.75" thickBot="1" x14ac:dyDescent="0.3">
      <c r="C16" s="51">
        <v>12.154058936256151</v>
      </c>
      <c r="D16" s="52">
        <v>20.66777123732745</v>
      </c>
      <c r="E16" s="52">
        <v>19.433302629805301</v>
      </c>
      <c r="F16" s="52">
        <v>24.942932870573252</v>
      </c>
      <c r="G16" s="52">
        <v>19.719619400024001</v>
      </c>
      <c r="H16" s="52">
        <v>40.402058857011554</v>
      </c>
      <c r="I16" s="52">
        <v>52.731677134971498</v>
      </c>
      <c r="J16" s="52">
        <v>58.964629393870503</v>
      </c>
      <c r="K16" s="52">
        <v>42.054655589643048</v>
      </c>
      <c r="L16" s="52">
        <v>43.9482671963247</v>
      </c>
      <c r="M16" s="52">
        <v>31.465161056295901</v>
      </c>
      <c r="N16" s="52">
        <v>26.6474971873557</v>
      </c>
      <c r="O16" s="52">
        <v>23.2495759756872</v>
      </c>
      <c r="P16" s="52">
        <v>30.120064864356799</v>
      </c>
      <c r="Q16" s="52">
        <v>23.363912321126652</v>
      </c>
      <c r="R16" s="52">
        <v>25.36235919385955</v>
      </c>
      <c r="S16" s="52">
        <v>29.776397638595249</v>
      </c>
      <c r="T16" s="52">
        <v>20.885627207979852</v>
      </c>
      <c r="U16" s="52">
        <v>21.33350243476885</v>
      </c>
      <c r="V16" s="53">
        <v>32.147387657771247</v>
      </c>
      <c r="W16" s="9">
        <f t="shared" si="0"/>
        <v>29.968522939180225</v>
      </c>
      <c r="AA16" s="51">
        <f t="shared" si="4"/>
        <v>15.558859379700262</v>
      </c>
      <c r="AB16" s="52">
        <f t="shared" si="1"/>
        <v>26.457576687746808</v>
      </c>
      <c r="AC16" s="52">
        <f t="shared" si="1"/>
        <v>24.877287866224286</v>
      </c>
      <c r="AD16" s="52">
        <f t="shared" si="1"/>
        <v>31.930368865735904</v>
      </c>
      <c r="AE16" s="52">
        <f t="shared" si="1"/>
        <v>25.24381253006263</v>
      </c>
      <c r="AF16" s="52">
        <f t="shared" si="1"/>
        <v>51.720166547114736</v>
      </c>
      <c r="AG16" s="52">
        <f t="shared" si="1"/>
        <v>67.503765919000969</v>
      </c>
      <c r="AH16" s="52">
        <f t="shared" si="1"/>
        <v>75.482798127517398</v>
      </c>
      <c r="AI16" s="52">
        <f t="shared" si="1"/>
        <v>53.835716612259134</v>
      </c>
      <c r="AJ16" s="52">
        <f t="shared" si="1"/>
        <v>56.259798712127861</v>
      </c>
      <c r="AK16" s="52">
        <f t="shared" si="1"/>
        <v>40.279713863665869</v>
      </c>
      <c r="AL16" s="52">
        <f t="shared" si="1"/>
        <v>34.112444553172246</v>
      </c>
      <c r="AM16" s="52">
        <f t="shared" si="1"/>
        <v>29.762640212669687</v>
      </c>
      <c r="AN16" s="52">
        <f t="shared" si="1"/>
        <v>38.557806588712552</v>
      </c>
      <c r="AO16" s="52">
        <f t="shared" si="1"/>
        <v>29.909006387954108</v>
      </c>
      <c r="AP16" s="52">
        <f t="shared" si="1"/>
        <v>32.467291980753018</v>
      </c>
      <c r="AQ16" s="52">
        <f t="shared" si="1"/>
        <v>38.117865490263121</v>
      </c>
      <c r="AR16" s="52">
        <f t="shared" si="1"/>
        <v>26.736462155571676</v>
      </c>
      <c r="AS16" s="52">
        <f t="shared" si="1"/>
        <v>27.309803761845629</v>
      </c>
      <c r="AT16" s="53">
        <f t="shared" si="1"/>
        <v>41.153057313217658</v>
      </c>
      <c r="AU16" s="9">
        <f t="shared" si="2"/>
        <v>38.36381217776578</v>
      </c>
      <c r="AY16" s="51">
        <v>14.51738015317145</v>
      </c>
      <c r="AZ16" s="52">
        <v>24.528030063927051</v>
      </c>
      <c r="BA16" s="52">
        <v>29.710594153687602</v>
      </c>
      <c r="BB16" s="52">
        <v>60.401781683286003</v>
      </c>
      <c r="BC16" s="52">
        <v>67.36195813914</v>
      </c>
      <c r="BD16" s="52">
        <v>68.913176528812002</v>
      </c>
      <c r="BE16" s="52">
        <v>67.232130855196999</v>
      </c>
      <c r="BF16" s="52">
        <v>69.503129682809501</v>
      </c>
      <c r="BG16" s="52">
        <v>51.925227944132502</v>
      </c>
      <c r="BH16" s="52">
        <v>64.525839625182002</v>
      </c>
      <c r="BI16" s="52">
        <v>41.150182778799653</v>
      </c>
      <c r="BJ16" s="52">
        <v>55.076990145292001</v>
      </c>
      <c r="BK16" s="52">
        <v>57.687671056918497</v>
      </c>
      <c r="BL16" s="52">
        <v>69.612884758223004</v>
      </c>
      <c r="BM16" s="52">
        <v>45.866297892489499</v>
      </c>
      <c r="BN16" s="52">
        <v>48.21266898499325</v>
      </c>
      <c r="BO16" s="52">
        <v>53.565434609497999</v>
      </c>
      <c r="BP16" s="52">
        <v>52.979837094190003</v>
      </c>
      <c r="BQ16" s="52">
        <v>51.110368736049502</v>
      </c>
      <c r="BR16" s="53">
        <v>53.291726177970503</v>
      </c>
      <c r="BS16" s="9">
        <f t="shared" si="3"/>
        <v>52.358665553188438</v>
      </c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Z16" s="1">
        <v>0.81673557994952684</v>
      </c>
      <c r="DC16" s="1">
        <v>0.84153246864454523</v>
      </c>
      <c r="DD16" s="1">
        <v>0.95091123930468957</v>
      </c>
      <c r="DE16" s="1">
        <v>0.98826236976751647</v>
      </c>
      <c r="DF16" s="1">
        <v>0.99457498048312121</v>
      </c>
    </row>
    <row r="17" spans="2:110" ht="15.75" thickBot="1" x14ac:dyDescent="0.3">
      <c r="B17" s="6" t="s">
        <v>0</v>
      </c>
      <c r="C17" s="71">
        <f t="shared" ref="C17:V17" si="5">AVERAGE(C7:C16)</f>
        <v>23.935596532423737</v>
      </c>
      <c r="D17" s="72">
        <f t="shared" si="5"/>
        <v>29.192267384056652</v>
      </c>
      <c r="E17" s="72">
        <f t="shared" si="5"/>
        <v>30.535376884912871</v>
      </c>
      <c r="F17" s="72">
        <f t="shared" si="5"/>
        <v>35.16641553540984</v>
      </c>
      <c r="G17" s="72">
        <f t="shared" si="5"/>
        <v>36.037186851010333</v>
      </c>
      <c r="H17" s="72">
        <f t="shared" si="5"/>
        <v>34.974274016838706</v>
      </c>
      <c r="I17" s="72">
        <f t="shared" si="5"/>
        <v>39.785545529463626</v>
      </c>
      <c r="J17" s="72">
        <f t="shared" si="5"/>
        <v>45.302243744455076</v>
      </c>
      <c r="K17" s="72">
        <f t="shared" si="5"/>
        <v>42.70705652116456</v>
      </c>
      <c r="L17" s="72">
        <f t="shared" si="5"/>
        <v>39.53004864656738</v>
      </c>
      <c r="M17" s="72">
        <f t="shared" si="5"/>
        <v>47.381359083029523</v>
      </c>
      <c r="N17" s="72">
        <f t="shared" si="5"/>
        <v>49.88755660697165</v>
      </c>
      <c r="O17" s="72">
        <f t="shared" si="5"/>
        <v>53.154076303898911</v>
      </c>
      <c r="P17" s="72">
        <f t="shared" si="5"/>
        <v>42.609497567784508</v>
      </c>
      <c r="Q17" s="72">
        <f t="shared" si="5"/>
        <v>42.658591300271787</v>
      </c>
      <c r="R17" s="72">
        <f t="shared" si="5"/>
        <v>36.442183179291661</v>
      </c>
      <c r="S17" s="72">
        <f t="shared" si="5"/>
        <v>33.878298055778103</v>
      </c>
      <c r="T17" s="72">
        <f t="shared" si="5"/>
        <v>29.691795103579956</v>
      </c>
      <c r="U17" s="72">
        <f t="shared" si="5"/>
        <v>27.2690312693049</v>
      </c>
      <c r="V17" s="73">
        <f t="shared" si="5"/>
        <v>25.563669317521104</v>
      </c>
      <c r="Z17" s="6" t="s">
        <v>0</v>
      </c>
      <c r="AA17" s="71">
        <f t="shared" ref="AA17:AT17" si="6">AVERAGE(AA7:AA16)</f>
        <v>30.64084044436408</v>
      </c>
      <c r="AB17" s="72">
        <f t="shared" si="6"/>
        <v>37.370098794588863</v>
      </c>
      <c r="AC17" s="72">
        <f t="shared" si="6"/>
        <v>39.089462832969787</v>
      </c>
      <c r="AD17" s="72">
        <f t="shared" si="6"/>
        <v>45.017826314086342</v>
      </c>
      <c r="AE17" s="72">
        <f t="shared" si="6"/>
        <v>46.132532810275009</v>
      </c>
      <c r="AF17" s="72">
        <f t="shared" si="6"/>
        <v>44.771858865341095</v>
      </c>
      <c r="AG17" s="72">
        <f t="shared" si="6"/>
        <v>50.930945084610947</v>
      </c>
      <c r="AH17" s="72">
        <f t="shared" si="6"/>
        <v>57.993074058763753</v>
      </c>
      <c r="AI17" s="72">
        <f t="shared" si="6"/>
        <v>54.670879121011566</v>
      </c>
      <c r="AJ17" s="72">
        <f t="shared" si="6"/>
        <v>50.603874095916289</v>
      </c>
      <c r="AK17" s="72">
        <f t="shared" si="6"/>
        <v>60.654626331688817</v>
      </c>
      <c r="AL17" s="72">
        <f t="shared" si="6"/>
        <v>63.862902271214566</v>
      </c>
      <c r="AM17" s="72">
        <f t="shared" si="6"/>
        <v>68.044494683433669</v>
      </c>
      <c r="AN17" s="72">
        <f t="shared" si="6"/>
        <v>54.545990304458016</v>
      </c>
      <c r="AO17" s="72">
        <f t="shared" si="6"/>
        <v>54.608837003178223</v>
      </c>
      <c r="AP17" s="72">
        <f t="shared" si="6"/>
        <v>46.650983556159353</v>
      </c>
      <c r="AQ17" s="72">
        <f t="shared" si="6"/>
        <v>43.368859591509491</v>
      </c>
      <c r="AR17" s="72">
        <f t="shared" si="6"/>
        <v>38.009562663004125</v>
      </c>
      <c r="AS17" s="72">
        <f t="shared" si="6"/>
        <v>34.908093268671863</v>
      </c>
      <c r="AT17" s="73">
        <f t="shared" si="6"/>
        <v>32.724996499234223</v>
      </c>
      <c r="AX17" s="6" t="s">
        <v>0</v>
      </c>
      <c r="AY17" s="71">
        <f t="shared" ref="AY17:BR17" si="7">AVERAGE(AY7:AY16)</f>
        <v>44.98890124557478</v>
      </c>
      <c r="AZ17" s="72">
        <f t="shared" si="7"/>
        <v>51.156992607880753</v>
      </c>
      <c r="BA17" s="72">
        <f t="shared" si="7"/>
        <v>54.589749010651381</v>
      </c>
      <c r="BB17" s="72">
        <f t="shared" si="7"/>
        <v>56.266272656766702</v>
      </c>
      <c r="BC17" s="72">
        <f t="shared" si="7"/>
        <v>61.130062071025407</v>
      </c>
      <c r="BD17" s="72">
        <f t="shared" si="7"/>
        <v>63.896136031962648</v>
      </c>
      <c r="BE17" s="72">
        <f t="shared" si="7"/>
        <v>65.314499619360348</v>
      </c>
      <c r="BF17" s="72">
        <f t="shared" si="7"/>
        <v>70.153136207789544</v>
      </c>
      <c r="BG17" s="72">
        <f t="shared" si="7"/>
        <v>69.47542231949275</v>
      </c>
      <c r="BH17" s="72">
        <f t="shared" si="7"/>
        <v>67.85188186458025</v>
      </c>
      <c r="BI17" s="72">
        <f t="shared" si="7"/>
        <v>62.075325292346669</v>
      </c>
      <c r="BJ17" s="72">
        <f t="shared" si="7"/>
        <v>64.589742209074956</v>
      </c>
      <c r="BK17" s="72">
        <f t="shared" si="7"/>
        <v>65.229083198998737</v>
      </c>
      <c r="BL17" s="72">
        <f t="shared" si="7"/>
        <v>59.359033502132277</v>
      </c>
      <c r="BM17" s="72">
        <f t="shared" si="7"/>
        <v>50.870773258334538</v>
      </c>
      <c r="BN17" s="72">
        <f t="shared" si="7"/>
        <v>52.161729844829054</v>
      </c>
      <c r="BO17" s="72">
        <f t="shared" si="7"/>
        <v>53.572337945537321</v>
      </c>
      <c r="BP17" s="72">
        <f t="shared" si="7"/>
        <v>46.002383761229112</v>
      </c>
      <c r="BQ17" s="72">
        <f t="shared" si="7"/>
        <v>49.246169764719369</v>
      </c>
      <c r="BR17" s="73">
        <f t="shared" si="7"/>
        <v>46.527195302455482</v>
      </c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Z17" s="1">
        <v>0.81697966288872725</v>
      </c>
      <c r="DC17" s="1">
        <v>0.842911873387997</v>
      </c>
      <c r="DD17" s="1">
        <v>0.95168341089602049</v>
      </c>
      <c r="DE17" s="1">
        <v>0.98809826517824795</v>
      </c>
      <c r="DF17" s="1">
        <v>0.99448291767161134</v>
      </c>
    </row>
    <row r="18" spans="2:110" ht="15.75" thickBot="1" x14ac:dyDescent="0.3">
      <c r="B18" s="7" t="s">
        <v>1</v>
      </c>
      <c r="C18" s="74">
        <f>STDEV(C7:C16)</f>
        <v>13.785077905015591</v>
      </c>
      <c r="D18" s="75">
        <f t="shared" ref="D18:V18" si="8">STDEV(D7:D16)</f>
        <v>10.36182831060265</v>
      </c>
      <c r="E18" s="75">
        <f t="shared" si="8"/>
        <v>9.0498284338303971</v>
      </c>
      <c r="F18" s="75">
        <f t="shared" si="8"/>
        <v>11.110722349772603</v>
      </c>
      <c r="G18" s="75">
        <f t="shared" si="8"/>
        <v>12.034924187167467</v>
      </c>
      <c r="H18" s="75">
        <f t="shared" si="8"/>
        <v>8.6931492119689082</v>
      </c>
      <c r="I18" s="75">
        <f t="shared" si="8"/>
        <v>10.663476305865769</v>
      </c>
      <c r="J18" s="75">
        <f t="shared" si="8"/>
        <v>13.742246702420598</v>
      </c>
      <c r="K18" s="75">
        <f t="shared" si="8"/>
        <v>8.8802447421296584</v>
      </c>
      <c r="L18" s="75">
        <f t="shared" si="8"/>
        <v>7.6791876385009719</v>
      </c>
      <c r="M18" s="75">
        <f t="shared" si="8"/>
        <v>13.778467098171749</v>
      </c>
      <c r="N18" s="75">
        <f t="shared" si="8"/>
        <v>14.493255943267693</v>
      </c>
      <c r="O18" s="75">
        <f t="shared" si="8"/>
        <v>19.993241229961367</v>
      </c>
      <c r="P18" s="75">
        <f t="shared" si="8"/>
        <v>14.980770638869794</v>
      </c>
      <c r="Q18" s="75">
        <f t="shared" si="8"/>
        <v>13.368304291582307</v>
      </c>
      <c r="R18" s="75">
        <f t="shared" si="8"/>
        <v>13.709034817991313</v>
      </c>
      <c r="S18" s="75">
        <f t="shared" si="8"/>
        <v>11.53084437485108</v>
      </c>
      <c r="T18" s="75">
        <f t="shared" si="8"/>
        <v>9.5827505682713756</v>
      </c>
      <c r="U18" s="75">
        <f t="shared" si="8"/>
        <v>11.929986742708037</v>
      </c>
      <c r="V18" s="76">
        <f t="shared" si="8"/>
        <v>10.358319751432999</v>
      </c>
      <c r="Z18" s="7" t="s">
        <v>1</v>
      </c>
      <c r="AA18" s="74">
        <f>STDEV(AA7:AA16)</f>
        <v>17.646786953002668</v>
      </c>
      <c r="AB18" s="75">
        <f t="shared" ref="AB18:AT18" si="9">STDEV(AB7:AB16)</f>
        <v>13.264558815026128</v>
      </c>
      <c r="AC18" s="75">
        <f t="shared" si="9"/>
        <v>11.585019354509813</v>
      </c>
      <c r="AD18" s="75">
        <f t="shared" si="9"/>
        <v>14.223245711876963</v>
      </c>
      <c r="AE18" s="75">
        <f t="shared" si="9"/>
        <v>15.406350590823369</v>
      </c>
      <c r="AF18" s="75">
        <f t="shared" si="9"/>
        <v>11.128421119655968</v>
      </c>
      <c r="AG18" s="75">
        <f t="shared" si="9"/>
        <v>13.650709545829924</v>
      </c>
      <c r="AH18" s="75">
        <f t="shared" si="9"/>
        <v>17.591957149911099</v>
      </c>
      <c r="AI18" s="75">
        <f t="shared" si="9"/>
        <v>11.367929012419127</v>
      </c>
      <c r="AJ18" s="75">
        <f t="shared" si="9"/>
        <v>9.8304114900542903</v>
      </c>
      <c r="AK18" s="75">
        <f t="shared" si="9"/>
        <v>17.638324215195563</v>
      </c>
      <c r="AL18" s="75">
        <f t="shared" si="9"/>
        <v>18.553351794488513</v>
      </c>
      <c r="AM18" s="75">
        <f t="shared" si="9"/>
        <v>25.594085932350655</v>
      </c>
      <c r="AN18" s="75">
        <f t="shared" si="9"/>
        <v>19.177437347651672</v>
      </c>
      <c r="AO18" s="75">
        <f t="shared" si="9"/>
        <v>17.113259669764396</v>
      </c>
      <c r="AP18" s="75">
        <f t="shared" si="9"/>
        <v>17.549441390996236</v>
      </c>
      <c r="AQ18" s="75">
        <f t="shared" si="9"/>
        <v>14.761059420432511</v>
      </c>
      <c r="AR18" s="75">
        <f t="shared" si="9"/>
        <v>12.267232645854143</v>
      </c>
      <c r="AS18" s="75">
        <f t="shared" si="9"/>
        <v>15.272016295542064</v>
      </c>
      <c r="AT18" s="76">
        <f t="shared" si="9"/>
        <v>13.260067378952627</v>
      </c>
      <c r="AX18" s="7" t="s">
        <v>1</v>
      </c>
      <c r="AY18" s="74">
        <f>STDEV(AY7:AY16)</f>
        <v>16.412575196605186</v>
      </c>
      <c r="AZ18" s="75">
        <f t="shared" ref="AZ18:BR18" si="10">STDEV(AZ7:AZ16)</f>
        <v>15.493198511542261</v>
      </c>
      <c r="BA18" s="75">
        <f t="shared" si="10"/>
        <v>14.607128740241077</v>
      </c>
      <c r="BB18" s="75">
        <f t="shared" si="10"/>
        <v>8.4699302096372424</v>
      </c>
      <c r="BC18" s="75">
        <f t="shared" si="10"/>
        <v>11.000704800830428</v>
      </c>
      <c r="BD18" s="75">
        <f t="shared" si="10"/>
        <v>10.795047180584234</v>
      </c>
      <c r="BE18" s="75">
        <f t="shared" si="10"/>
        <v>4.8165757246799794</v>
      </c>
      <c r="BF18" s="75">
        <f t="shared" si="10"/>
        <v>4.9632641023374982</v>
      </c>
      <c r="BG18" s="75">
        <f t="shared" si="10"/>
        <v>8.1268336492245243</v>
      </c>
      <c r="BH18" s="75">
        <f t="shared" si="10"/>
        <v>3.7654519955333154</v>
      </c>
      <c r="BI18" s="75">
        <f t="shared" si="10"/>
        <v>11.889310942508125</v>
      </c>
      <c r="BJ18" s="75">
        <f t="shared" si="10"/>
        <v>13.779912804545273</v>
      </c>
      <c r="BK18" s="75">
        <f t="shared" si="10"/>
        <v>14.952094772518311</v>
      </c>
      <c r="BL18" s="75">
        <f t="shared" si="10"/>
        <v>15.02124886702329</v>
      </c>
      <c r="BM18" s="75">
        <f t="shared" si="10"/>
        <v>12.159641772206898</v>
      </c>
      <c r="BN18" s="75">
        <f t="shared" si="10"/>
        <v>14.607564617424941</v>
      </c>
      <c r="BO18" s="75">
        <f t="shared" si="10"/>
        <v>10.599675381646486</v>
      </c>
      <c r="BP18" s="75">
        <f t="shared" si="10"/>
        <v>11.043522724416661</v>
      </c>
      <c r="BQ18" s="75">
        <f t="shared" si="10"/>
        <v>13.395229592495959</v>
      </c>
      <c r="BR18" s="76">
        <f t="shared" si="10"/>
        <v>12.632831978550474</v>
      </c>
      <c r="BV18" s="13"/>
      <c r="BW18" s="13"/>
      <c r="BX18" s="13"/>
      <c r="BY18" s="13"/>
      <c r="BZ18" s="2"/>
      <c r="CA18" s="2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Z18" s="1">
        <v>0.8172175013396713</v>
      </c>
      <c r="DC18" s="1">
        <v>0.8442929888763876</v>
      </c>
      <c r="DD18" s="1">
        <v>0.9524516325557818</v>
      </c>
      <c r="DE18" s="1">
        <v>0.98792370514475392</v>
      </c>
      <c r="DF18" s="1">
        <v>0.99438077945360759</v>
      </c>
    </row>
    <row r="19" spans="2:110" ht="38.25" customHeight="1" x14ac:dyDescent="0.35">
      <c r="C19" s="111" t="s">
        <v>19</v>
      </c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AA19" s="111" t="s">
        <v>17</v>
      </c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Y19" s="111" t="s">
        <v>18</v>
      </c>
      <c r="AZ19" s="111"/>
      <c r="BA19" s="111"/>
      <c r="BB19" s="111"/>
      <c r="BC19" s="111"/>
      <c r="BD19" s="111"/>
      <c r="BE19" s="111"/>
      <c r="BF19" s="111"/>
      <c r="BG19" s="111"/>
      <c r="BH19" s="111"/>
      <c r="BI19" s="111"/>
      <c r="BJ19" s="111"/>
      <c r="BK19" s="111"/>
      <c r="BL19" s="111"/>
      <c r="BM19" s="111"/>
      <c r="BN19" s="111"/>
      <c r="BO19" s="111"/>
      <c r="BP19" s="111"/>
      <c r="BQ19" s="111"/>
      <c r="BR19" s="111"/>
      <c r="BV19" s="13"/>
      <c r="BW19" s="13"/>
      <c r="BX19" s="13"/>
      <c r="BY19" s="13"/>
      <c r="BZ19" s="2"/>
      <c r="CA19" s="2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Z19" s="1">
        <v>0.81744895629111036</v>
      </c>
      <c r="DC19" s="1">
        <v>0.84567572583887463</v>
      </c>
      <c r="DD19" s="1">
        <v>0.95321576195321467</v>
      </c>
      <c r="DE19" s="1">
        <v>0.98773850735151458</v>
      </c>
      <c r="DF19" s="1">
        <v>0.99426838432192277</v>
      </c>
    </row>
    <row r="20" spans="2:110" ht="15" customHeight="1" x14ac:dyDescent="0.25">
      <c r="C20" s="115">
        <f>MAX(C7:V16)</f>
        <v>78.116644926514496</v>
      </c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AA20" s="114">
        <v>100</v>
      </c>
      <c r="AB20" s="114"/>
      <c r="AC20" s="114"/>
      <c r="AD20" s="114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14"/>
      <c r="AP20" s="114"/>
      <c r="AQ20" s="114"/>
      <c r="AR20" s="114"/>
      <c r="AS20" s="114"/>
      <c r="AT20" s="114"/>
      <c r="AU20" s="114"/>
      <c r="AY20" s="115">
        <f>MAX(AY7:BR16)</f>
        <v>84.136191723398994</v>
      </c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V20" s="13"/>
      <c r="BW20" s="13"/>
      <c r="BX20" s="13"/>
      <c r="BY20" s="13"/>
      <c r="BZ20" s="2"/>
      <c r="CA20" s="2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Z20" s="1">
        <v>0.81767388634479188</v>
      </c>
      <c r="DC20" s="1">
        <v>0.84705999245786212</v>
      </c>
      <c r="DD20" s="1">
        <v>0.95397565388049066</v>
      </c>
      <c r="DE20" s="1">
        <v>0.98754248675394352</v>
      </c>
      <c r="DF20" s="1">
        <v>0.99414554799327348</v>
      </c>
    </row>
    <row r="21" spans="2:110" ht="15" customHeight="1" x14ac:dyDescent="0.25"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AA21" s="114"/>
      <c r="AB21" s="114"/>
      <c r="AC21" s="114"/>
      <c r="AD21" s="114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14"/>
      <c r="AP21" s="114"/>
      <c r="AQ21" s="114"/>
      <c r="AR21" s="114"/>
      <c r="AS21" s="114"/>
      <c r="AT21" s="114"/>
      <c r="AU21" s="114"/>
      <c r="AY21" s="115"/>
      <c r="AZ21" s="115"/>
      <c r="BA21" s="115"/>
      <c r="BB21" s="115"/>
      <c r="BC21" s="115"/>
      <c r="BD21" s="115"/>
      <c r="BE21" s="115"/>
      <c r="BF21" s="115"/>
      <c r="BG21" s="115"/>
      <c r="BH21" s="115"/>
      <c r="BI21" s="115"/>
      <c r="BJ21" s="115"/>
      <c r="BK21" s="115"/>
      <c r="BL21" s="115"/>
      <c r="BM21" s="115"/>
      <c r="BN21" s="115"/>
      <c r="BO21" s="115"/>
      <c r="BP21" s="115"/>
      <c r="BQ21" s="115"/>
      <c r="BR21" s="115"/>
      <c r="BS21" s="115"/>
      <c r="BV21" s="13"/>
      <c r="BW21" s="13"/>
      <c r="BX21" s="13"/>
      <c r="BY21" s="13"/>
      <c r="BZ21" s="2"/>
      <c r="CA21" s="2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Z21" s="1">
        <v>0.81789214768167229</v>
      </c>
      <c r="DC21" s="1">
        <v>0.84844569431540606</v>
      </c>
      <c r="DD21" s="1">
        <v>0.95473116020449078</v>
      </c>
      <c r="DE21" s="1">
        <v>0.98733545554671476</v>
      </c>
      <c r="DF21" s="1">
        <v>0.99401208337487479</v>
      </c>
    </row>
    <row r="22" spans="2:110" ht="15" customHeight="1" x14ac:dyDescent="0.25">
      <c r="C22" s="115"/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AA22" s="114"/>
      <c r="AB22" s="114"/>
      <c r="AC22" s="114"/>
      <c r="AD22" s="114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14"/>
      <c r="AP22" s="114"/>
      <c r="AQ22" s="114"/>
      <c r="AR22" s="114"/>
      <c r="AS22" s="114"/>
      <c r="AT22" s="114"/>
      <c r="AU22" s="114"/>
      <c r="AY22" s="115"/>
      <c r="AZ22" s="115"/>
      <c r="BA22" s="115"/>
      <c r="BB22" s="115"/>
      <c r="BC22" s="115"/>
      <c r="BD22" s="115"/>
      <c r="BE22" s="115"/>
      <c r="BF22" s="115"/>
      <c r="BG22" s="115"/>
      <c r="BH22" s="115"/>
      <c r="BI22" s="115"/>
      <c r="BJ22" s="115"/>
      <c r="BK22" s="115"/>
      <c r="BL22" s="115"/>
      <c r="BM22" s="115"/>
      <c r="BN22" s="115"/>
      <c r="BO22" s="115"/>
      <c r="BP22" s="115"/>
      <c r="BQ22" s="115"/>
      <c r="BR22" s="115"/>
      <c r="BS22" s="115"/>
      <c r="BV22" s="13"/>
      <c r="BW22" s="13"/>
      <c r="BX22" s="13"/>
      <c r="BY22" s="13"/>
      <c r="BZ22" s="2"/>
      <c r="CA22" s="2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Z22" s="1">
        <v>0.81810359402792499</v>
      </c>
      <c r="DC22" s="1">
        <v>0.8498327343387414</v>
      </c>
      <c r="DD22" s="1">
        <v>0.95548212981805503</v>
      </c>
      <c r="DE22" s="1">
        <v>0.98711722313210193</v>
      </c>
      <c r="DF22" s="1">
        <v>0.9938678005310283</v>
      </c>
    </row>
    <row r="23" spans="2:110" ht="15" customHeight="1" thickBot="1" x14ac:dyDescent="0.3">
      <c r="C23" s="137" t="s">
        <v>9</v>
      </c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9"/>
      <c r="AY23" s="131" t="s">
        <v>10</v>
      </c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3"/>
      <c r="BV23" s="13"/>
      <c r="BW23" s="13"/>
      <c r="BX23" s="13"/>
      <c r="BY23" s="13"/>
      <c r="BZ23" s="2"/>
      <c r="CA23" s="2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Z23" s="1">
        <v>0.81830807662075511</v>
      </c>
      <c r="DC23" s="1">
        <v>0.85122101274490003</v>
      </c>
      <c r="DD23" s="1">
        <v>0.95622840859069658</v>
      </c>
      <c r="DE23" s="1">
        <v>0.98688759608838716</v>
      </c>
      <c r="DF23" s="1">
        <v>0.99371250664970467</v>
      </c>
    </row>
    <row r="24" spans="2:110" ht="15" customHeight="1" x14ac:dyDescent="0.25">
      <c r="C24" s="140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2"/>
      <c r="Z24" s="40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2"/>
      <c r="AY24" s="134"/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35"/>
      <c r="BM24" s="135"/>
      <c r="BN24" s="135"/>
      <c r="BO24" s="135"/>
      <c r="BP24" s="135"/>
      <c r="BQ24" s="135"/>
      <c r="BR24" s="135"/>
      <c r="BS24" s="136"/>
      <c r="BV24" s="13"/>
      <c r="BW24" s="13"/>
      <c r="BX24" s="13"/>
      <c r="BY24" s="13"/>
      <c r="BZ24" s="2"/>
      <c r="CA24" s="2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Z24" s="1">
        <v>0.81850544417401905</v>
      </c>
      <c r="DC24" s="1">
        <v>0.85261042698444789</v>
      </c>
      <c r="DD24" s="1">
        <v>0.95696983931880975</v>
      </c>
      <c r="DE24" s="1">
        <v>0.98664637813830725</v>
      </c>
      <c r="DF24" s="1">
        <v>0.99354600600915877</v>
      </c>
    </row>
    <row r="25" spans="2:110" ht="17.25" customHeight="1" thickBot="1" x14ac:dyDescent="0.3">
      <c r="C25" s="116"/>
      <c r="D25" s="116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43"/>
      <c r="AA25" s="44"/>
      <c r="AB25" s="44"/>
      <c r="AC25" s="44"/>
      <c r="AD25" s="44"/>
      <c r="AE25" s="125"/>
      <c r="AF25" s="125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125"/>
      <c r="AW25" s="126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116"/>
      <c r="BQ25" s="116"/>
      <c r="BR25" s="11"/>
      <c r="BS25" s="11"/>
      <c r="BT25" s="11"/>
      <c r="BU25" s="11"/>
      <c r="BV25" s="13"/>
      <c r="BW25" s="13"/>
      <c r="BX25" s="13"/>
      <c r="BY25" s="13"/>
      <c r="BZ25" s="2"/>
      <c r="CA25" s="2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2"/>
      <c r="CZ25" s="1">
        <v>0.81869554284369905</v>
      </c>
      <c r="DC25" s="1">
        <v>0.85400087168432004</v>
      </c>
      <c r="DD25" s="1">
        <v>0.95770626167536299</v>
      </c>
      <c r="DE25" s="1">
        <v>0.98639337011762607</v>
      </c>
      <c r="DF25" s="1">
        <v>0.99336809994458275</v>
      </c>
    </row>
    <row r="26" spans="2:110" x14ac:dyDescent="0.25">
      <c r="C26" s="116"/>
      <c r="D26" s="116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2"/>
      <c r="AA26" s="2"/>
      <c r="AB26" s="2"/>
      <c r="AC26" s="2"/>
      <c r="AD26" s="2"/>
      <c r="AE26" s="11"/>
      <c r="AF26" s="11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11"/>
      <c r="AW26" s="11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116"/>
      <c r="BQ26" s="116"/>
      <c r="BR26" s="11"/>
      <c r="BS26" s="11"/>
      <c r="BT26" s="11"/>
      <c r="BU26" s="11"/>
      <c r="BV26" s="13"/>
      <c r="BW26" s="13"/>
      <c r="BX26" s="13"/>
      <c r="BY26" s="13"/>
      <c r="BZ26" s="2"/>
      <c r="CA26" s="2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2"/>
      <c r="CZ26" s="1">
        <v>0.8188782161932</v>
      </c>
      <c r="DC26" s="1">
        <v>0.85539223858976154</v>
      </c>
      <c r="DD26" s="1">
        <v>0.95843751215909068</v>
      </c>
      <c r="DE26" s="1">
        <v>0.98612836994380304</v>
      </c>
      <c r="DF26" s="1">
        <v>0.99317858681483118</v>
      </c>
    </row>
    <row r="27" spans="2:110" ht="21" customHeight="1" x14ac:dyDescent="0.25">
      <c r="C27" s="2"/>
      <c r="D27" s="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2"/>
      <c r="AA27" s="137" t="s">
        <v>13</v>
      </c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38"/>
      <c r="AO27" s="138"/>
      <c r="AP27" s="138"/>
      <c r="AQ27" s="138"/>
      <c r="AR27" s="138"/>
      <c r="AS27" s="138"/>
      <c r="AT27" s="139"/>
      <c r="AU27" s="2"/>
      <c r="AV27" s="11"/>
      <c r="AW27" s="11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13"/>
      <c r="BW27" s="13"/>
      <c r="BX27" s="13"/>
      <c r="BY27" s="13"/>
      <c r="BZ27" s="2"/>
      <c r="CA27" s="2"/>
      <c r="CB27" s="15">
        <f t="shared" ref="CB27:CB36" si="11">AVERAGE(Z6:AB8)</f>
        <v>22.636178867042531</v>
      </c>
      <c r="CC27" s="16">
        <f t="shared" ref="CC27:CC36" si="12">AVERAGE(AA6:AC8)</f>
        <v>31.98011501438916</v>
      </c>
      <c r="CD27" s="16">
        <f t="shared" ref="CD27:CD36" si="13">AVERAGE(AB6:AD8)</f>
        <v>46.614576528921162</v>
      </c>
      <c r="CE27" s="16">
        <f t="shared" ref="CE27:CE36" si="14">AVERAGE(AC6:AE8)</f>
        <v>53.16502530217749</v>
      </c>
      <c r="CF27" s="16">
        <f t="shared" ref="CF27:CF36" si="15">AVERAGE(AD6:AF8)</f>
        <v>51.102268036903276</v>
      </c>
      <c r="CG27" s="16">
        <f t="shared" ref="CG27:CG36" si="16">AVERAGE(AE6:AG8)</f>
        <v>51.157436943981317</v>
      </c>
      <c r="CH27" s="16">
        <f t="shared" ref="CH27:CH36" si="17">AVERAGE(AF6:AH8)</f>
        <v>57.568627324623158</v>
      </c>
      <c r="CI27" s="16">
        <f t="shared" ref="CI27:CI36" si="18">AVERAGE(AG6:AI8)</f>
        <v>64.48362707973709</v>
      </c>
      <c r="CJ27" s="16">
        <f t="shared" ref="CJ27:CJ36" si="19">AVERAGE(AH6:AJ8)</f>
        <v>62.554984091646702</v>
      </c>
      <c r="CK27" s="16">
        <f t="shared" ref="CK27:CK36" si="20">AVERAGE(AI6:AK8)</f>
        <v>55.012453971661841</v>
      </c>
      <c r="CL27" s="16">
        <f t="shared" ref="CL27:CL36" si="21">AVERAGE(AJ6:AL8)</f>
        <v>51.440727986284863</v>
      </c>
      <c r="CM27" s="16">
        <f t="shared" ref="CM27:CM36" si="22">AVERAGE(AK6:AM8)</f>
        <v>60.496941781167095</v>
      </c>
      <c r="CN27" s="16">
        <f t="shared" ref="CN27:CN36" si="23">AVERAGE(AL6:AN8)</f>
        <v>62.502909257631593</v>
      </c>
      <c r="CO27" s="16">
        <f t="shared" ref="CO27:CO36" si="24">AVERAGE(AM6:AO8)</f>
        <v>57.0013951980171</v>
      </c>
      <c r="CP27" s="16">
        <f t="shared" ref="CP27:CP36" si="25">AVERAGE(AN6:AP8)</f>
        <v>38.858430240999063</v>
      </c>
      <c r="CQ27" s="16">
        <f t="shared" ref="CQ27:CQ36" si="26">AVERAGE(AO6:AQ8)</f>
        <v>33.711216049491803</v>
      </c>
      <c r="CR27" s="16">
        <f t="shared" ref="CR27:CR36" si="27">AVERAGE(AP6:AR8)</f>
        <v>29.98262776827724</v>
      </c>
      <c r="CS27" s="16">
        <f t="shared" ref="CS27:CS36" si="28">AVERAGE(AQ6:AS8)</f>
        <v>29.286762410573555</v>
      </c>
      <c r="CT27" s="16">
        <f t="shared" ref="CT27:CT36" si="29">AVERAGE(AR6:AT8)</f>
        <v>23.739713866603235</v>
      </c>
      <c r="CU27" s="17">
        <f t="shared" ref="CU27:CU36" si="30">AVERAGE(AS6:AU8)</f>
        <v>29.839507184119608</v>
      </c>
      <c r="CZ27" s="1">
        <v>0.81905330515852803</v>
      </c>
      <c r="DC27" s="1">
        <v>0.85678441650534132</v>
      </c>
      <c r="DD27" s="1">
        <v>0.95916342404320265</v>
      </c>
      <c r="DE27" s="1">
        <v>0.98585117258481714</v>
      </c>
      <c r="DF27" s="1">
        <v>0.99297726196924685</v>
      </c>
    </row>
    <row r="28" spans="2:110" x14ac:dyDescent="0.25">
      <c r="C28" s="2"/>
      <c r="D28" s="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2"/>
      <c r="AA28" s="140"/>
      <c r="AB28" s="141"/>
      <c r="AC28" s="141"/>
      <c r="AD28" s="141"/>
      <c r="AE28" s="141"/>
      <c r="AF28" s="141"/>
      <c r="AG28" s="141"/>
      <c r="AH28" s="141"/>
      <c r="AI28" s="141"/>
      <c r="AJ28" s="141"/>
      <c r="AK28" s="141"/>
      <c r="AL28" s="141"/>
      <c r="AM28" s="141"/>
      <c r="AN28" s="141"/>
      <c r="AO28" s="141"/>
      <c r="AP28" s="141"/>
      <c r="AQ28" s="141"/>
      <c r="AR28" s="141"/>
      <c r="AS28" s="141"/>
      <c r="AT28" s="142"/>
      <c r="AU28" s="2"/>
      <c r="AV28" s="11"/>
      <c r="AW28" s="11"/>
      <c r="AX28" s="2"/>
      <c r="AY28" s="91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3"/>
      <c r="BT28" s="2"/>
      <c r="BU28" s="2"/>
      <c r="BV28" s="2"/>
      <c r="BW28" s="2"/>
      <c r="BX28" s="2"/>
      <c r="BY28" s="2"/>
      <c r="BZ28" s="2"/>
      <c r="CA28" s="2"/>
      <c r="CB28" s="18">
        <f t="shared" si="11"/>
        <v>31.955600995780305</v>
      </c>
      <c r="CC28" s="10">
        <f t="shared" si="12"/>
        <v>37.340646204058473</v>
      </c>
      <c r="CD28" s="10">
        <f t="shared" si="13"/>
        <v>47.916648687080759</v>
      </c>
      <c r="CE28" s="10">
        <f t="shared" si="14"/>
        <v>50.789205800408475</v>
      </c>
      <c r="CF28" s="10">
        <f t="shared" si="15"/>
        <v>47.763662281395376</v>
      </c>
      <c r="CG28" s="10">
        <f t="shared" si="16"/>
        <v>45.049708570362078</v>
      </c>
      <c r="CH28" s="10">
        <f t="shared" si="17"/>
        <v>48.33047699098811</v>
      </c>
      <c r="CI28" s="10">
        <f t="shared" si="18"/>
        <v>53.61136963638117</v>
      </c>
      <c r="CJ28" s="10">
        <f t="shared" si="19"/>
        <v>53.17412443629987</v>
      </c>
      <c r="CK28" s="10">
        <f t="shared" si="20"/>
        <v>52.468798556403001</v>
      </c>
      <c r="CL28" s="10">
        <f t="shared" si="21"/>
        <v>52.625303891868157</v>
      </c>
      <c r="CM28" s="10">
        <f t="shared" si="22"/>
        <v>62.024036122129395</v>
      </c>
      <c r="CN28" s="10">
        <f t="shared" si="23"/>
        <v>60.369306536590585</v>
      </c>
      <c r="CO28" s="10">
        <f t="shared" si="24"/>
        <v>57.805821662865775</v>
      </c>
      <c r="CP28" s="10">
        <f t="shared" si="25"/>
        <v>44.453065100762444</v>
      </c>
      <c r="CQ28" s="10">
        <f t="shared" si="26"/>
        <v>42.039519425330262</v>
      </c>
      <c r="CR28" s="10">
        <f t="shared" si="27"/>
        <v>36.015223188434447</v>
      </c>
      <c r="CS28" s="10">
        <f t="shared" si="28"/>
        <v>31.870375244071553</v>
      </c>
      <c r="CT28" s="10">
        <f t="shared" si="29"/>
        <v>25.787338401223607</v>
      </c>
      <c r="CU28" s="19">
        <f t="shared" si="30"/>
        <v>30.980771828534063</v>
      </c>
      <c r="CZ28" s="1">
        <v>0.81922064801334382</v>
      </c>
      <c r="DC28" s="1">
        <v>0.85817729123509168</v>
      </c>
      <c r="DD28" s="1">
        <v>0.95988382732360045</v>
      </c>
      <c r="DE28" s="1">
        <v>0.98556157002815148</v>
      </c>
      <c r="DF28" s="1">
        <v>0.99276391771460304</v>
      </c>
    </row>
    <row r="29" spans="2:110" x14ac:dyDescent="0.25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14">
        <v>45.330041724617523</v>
      </c>
      <c r="AB29" s="14">
        <v>60.677190542420028</v>
      </c>
      <c r="AC29" s="14">
        <v>53.374130737134912</v>
      </c>
      <c r="AD29" s="14">
        <v>50.382058414464531</v>
      </c>
      <c r="AE29" s="14">
        <v>99.452990264255902</v>
      </c>
      <c r="AF29" s="14">
        <v>99.552573018080665</v>
      </c>
      <c r="AG29" s="14">
        <v>99.643393602225316</v>
      </c>
      <c r="AH29" s="14">
        <v>99.830319888734351</v>
      </c>
      <c r="AI29" s="14">
        <v>99.778025034770508</v>
      </c>
      <c r="AJ29" s="14">
        <v>98.988456189151592</v>
      </c>
      <c r="AK29" s="14">
        <v>64.150347705146032</v>
      </c>
      <c r="AL29" s="14">
        <v>52.236856745479834</v>
      </c>
      <c r="AM29" s="14">
        <v>67.381084840055635</v>
      </c>
      <c r="AN29" s="14">
        <v>22.299582753824755</v>
      </c>
      <c r="AO29" s="14">
        <v>19.269262865090404</v>
      </c>
      <c r="AP29" s="14">
        <v>6.4311543810848404</v>
      </c>
      <c r="AQ29" s="14">
        <v>48.997496522948538</v>
      </c>
      <c r="AR29" s="14">
        <v>29.912239221140474</v>
      </c>
      <c r="AS29" s="14">
        <v>10.808205841446455</v>
      </c>
      <c r="AT29" s="14">
        <v>2.5931849791376913</v>
      </c>
      <c r="AU29" s="2"/>
      <c r="AV29" s="11"/>
      <c r="AW29" s="11"/>
      <c r="AX29" s="2"/>
      <c r="AY29" s="94"/>
      <c r="AZ29" s="82" t="s">
        <v>32</v>
      </c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82"/>
      <c r="BM29" s="82"/>
      <c r="BN29" s="82"/>
      <c r="BO29" s="82"/>
      <c r="BP29" s="82"/>
      <c r="BQ29" s="82"/>
      <c r="BR29" s="82"/>
      <c r="BS29" s="95"/>
      <c r="BT29" s="2"/>
      <c r="BU29" s="2"/>
      <c r="BV29" s="2"/>
      <c r="BW29" s="2"/>
      <c r="BX29" s="2"/>
      <c r="BY29" s="2"/>
      <c r="BZ29" s="2"/>
      <c r="CA29" s="2"/>
      <c r="CB29" s="18">
        <f t="shared" si="11"/>
        <v>34.648956642165857</v>
      </c>
      <c r="CC29" s="10">
        <f t="shared" si="12"/>
        <v>37.087482265899943</v>
      </c>
      <c r="CD29" s="10">
        <f t="shared" si="13"/>
        <v>43.041971031742797</v>
      </c>
      <c r="CE29" s="10">
        <f t="shared" si="14"/>
        <v>43.576058780204932</v>
      </c>
      <c r="CF29" s="10">
        <f t="shared" si="15"/>
        <v>40.840024248241939</v>
      </c>
      <c r="CG29" s="10">
        <f t="shared" si="16"/>
        <v>38.009035089050933</v>
      </c>
      <c r="CH29" s="10">
        <f t="shared" si="17"/>
        <v>38.369904434287527</v>
      </c>
      <c r="CI29" s="10">
        <f t="shared" si="18"/>
        <v>43.617082132602064</v>
      </c>
      <c r="CJ29" s="10">
        <f t="shared" si="19"/>
        <v>45.274837125270409</v>
      </c>
      <c r="CK29" s="10">
        <f t="shared" si="20"/>
        <v>51.308204111992914</v>
      </c>
      <c r="CL29" s="10">
        <f t="shared" si="21"/>
        <v>56.988985158500249</v>
      </c>
      <c r="CM29" s="10">
        <f t="shared" si="22"/>
        <v>68.321413871980212</v>
      </c>
      <c r="CN29" s="10">
        <f t="shared" si="23"/>
        <v>68.916161153157304</v>
      </c>
      <c r="CO29" s="10">
        <f t="shared" si="24"/>
        <v>65.972673792963022</v>
      </c>
      <c r="CP29" s="10">
        <f t="shared" si="25"/>
        <v>56.668316878144331</v>
      </c>
      <c r="CQ29" s="10">
        <f t="shared" si="26"/>
        <v>50.233569334559178</v>
      </c>
      <c r="CR29" s="10">
        <f t="shared" si="27"/>
        <v>43.786328076880146</v>
      </c>
      <c r="CS29" s="10">
        <f t="shared" si="28"/>
        <v>39.424771230522623</v>
      </c>
      <c r="CT29" s="10">
        <f t="shared" si="29"/>
        <v>38.072471158903838</v>
      </c>
      <c r="CU29" s="19">
        <f t="shared" si="30"/>
        <v>40.961881396189717</v>
      </c>
      <c r="CZ29" s="1">
        <v>0.81938008033389909</v>
      </c>
      <c r="DC29" s="1">
        <v>0.85957074552170831</v>
      </c>
      <c r="DD29" s="1">
        <v>0.96059854866664462</v>
      </c>
      <c r="DE29" s="1">
        <v>0.98525935124998087</v>
      </c>
      <c r="DF29" s="1">
        <v>0.99253834328219537</v>
      </c>
    </row>
    <row r="30" spans="2:110" x14ac:dyDescent="0.25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14">
        <v>16.780667593880388</v>
      </c>
      <c r="AB30" s="14">
        <v>27.005563282336578</v>
      </c>
      <c r="AC30" s="14">
        <v>99.531849791376899</v>
      </c>
      <c r="AD30" s="14">
        <v>99.547426981919344</v>
      </c>
      <c r="AE30" s="14">
        <v>98.422392211404727</v>
      </c>
      <c r="AF30" s="14">
        <v>79.892211404728783</v>
      </c>
      <c r="AG30" s="14">
        <v>96.858831710709325</v>
      </c>
      <c r="AH30" s="14">
        <v>99.3317107093185</v>
      </c>
      <c r="AI30" s="14">
        <v>99.763977746870651</v>
      </c>
      <c r="AJ30" s="14">
        <v>93.543115438108487</v>
      </c>
      <c r="AK30" s="14">
        <v>72.715299026425598</v>
      </c>
      <c r="AL30" s="14">
        <v>43.388178025034769</v>
      </c>
      <c r="AM30" s="14">
        <v>80.138525730180802</v>
      </c>
      <c r="AN30" s="14">
        <v>42.97955493741307</v>
      </c>
      <c r="AO30" s="14">
        <v>16.34297635605007</v>
      </c>
      <c r="AP30" s="14">
        <v>17.046592489568845</v>
      </c>
      <c r="AQ30" s="14">
        <v>8.5282336578581361</v>
      </c>
      <c r="AR30" s="14">
        <v>21.765924895688457</v>
      </c>
      <c r="AS30" s="14">
        <v>19.787343532684286</v>
      </c>
      <c r="AT30" s="14">
        <v>46.073713490959669</v>
      </c>
      <c r="AU30" s="2"/>
      <c r="AV30" s="11"/>
      <c r="AW30" s="11"/>
      <c r="AX30" s="2"/>
      <c r="AY30" s="94"/>
      <c r="AZ30" s="146" t="s">
        <v>30</v>
      </c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7"/>
      <c r="BT30" s="2"/>
      <c r="BU30" s="2"/>
      <c r="BV30" s="2"/>
      <c r="BW30" s="2"/>
      <c r="BX30" s="2"/>
      <c r="BY30" s="2"/>
      <c r="BZ30" s="2"/>
      <c r="CA30" s="2"/>
      <c r="CB30" s="18">
        <f t="shared" si="11"/>
        <v>38.44246570589047</v>
      </c>
      <c r="CC30" s="10">
        <f t="shared" si="12"/>
        <v>38.266184620687028</v>
      </c>
      <c r="CD30" s="10">
        <f t="shared" si="13"/>
        <v>40.457324451857133</v>
      </c>
      <c r="CE30" s="10">
        <f t="shared" si="14"/>
        <v>38.995414041798043</v>
      </c>
      <c r="CF30" s="10">
        <f t="shared" si="15"/>
        <v>37.89687189039099</v>
      </c>
      <c r="CG30" s="10">
        <f t="shared" si="16"/>
        <v>36.923052522485264</v>
      </c>
      <c r="CH30" s="10">
        <f t="shared" si="17"/>
        <v>40.588246171069414</v>
      </c>
      <c r="CI30" s="10">
        <f t="shared" si="18"/>
        <v>46.368403606957564</v>
      </c>
      <c r="CJ30" s="10">
        <f t="shared" si="19"/>
        <v>50.15520814684168</v>
      </c>
      <c r="CK30" s="10">
        <f t="shared" si="20"/>
        <v>55.188039383544996</v>
      </c>
      <c r="CL30" s="10">
        <f t="shared" si="21"/>
        <v>63.552057844157716</v>
      </c>
      <c r="CM30" s="10">
        <f t="shared" si="22"/>
        <v>74.518879902628655</v>
      </c>
      <c r="CN30" s="10">
        <f t="shared" si="23"/>
        <v>76.326493980731286</v>
      </c>
      <c r="CO30" s="10">
        <f t="shared" si="24"/>
        <v>74.978141359247473</v>
      </c>
      <c r="CP30" s="10">
        <f t="shared" si="25"/>
        <v>69.519778653646185</v>
      </c>
      <c r="CQ30" s="10">
        <f t="shared" si="26"/>
        <v>65.461099621499145</v>
      </c>
      <c r="CR30" s="10">
        <f t="shared" si="27"/>
        <v>54.911961567796311</v>
      </c>
      <c r="CS30" s="10">
        <f t="shared" si="28"/>
        <v>45.525613356689568</v>
      </c>
      <c r="CT30" s="10">
        <f t="shared" si="29"/>
        <v>38.153766165030923</v>
      </c>
      <c r="CU30" s="19">
        <f t="shared" si="30"/>
        <v>41.384817436743745</v>
      </c>
      <c r="CZ30" s="1">
        <v>0.81953143496391234</v>
      </c>
      <c r="DC30" s="1">
        <v>0.86096465898485675</v>
      </c>
      <c r="DD30" s="1">
        <v>0.96130741135646092</v>
      </c>
      <c r="DE30" s="1">
        <v>0.98494430218458906</v>
      </c>
      <c r="DF30" s="1">
        <v>0.9923003247951061</v>
      </c>
    </row>
    <row r="31" spans="2:110" x14ac:dyDescent="0.25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14">
        <v>41.557997218358835</v>
      </c>
      <c r="AB31" s="14">
        <v>49.486369958275375</v>
      </c>
      <c r="AC31" s="14">
        <v>75.376077885952711</v>
      </c>
      <c r="AD31" s="14">
        <v>82.703477051460368</v>
      </c>
      <c r="AE31" s="14">
        <v>55.477746870653682</v>
      </c>
      <c r="AF31" s="14">
        <v>46.170792767732969</v>
      </c>
      <c r="AG31" s="14">
        <v>52.280806675938805</v>
      </c>
      <c r="AH31" s="14">
        <v>76.743115438108489</v>
      </c>
      <c r="AI31" s="14">
        <v>92.890125173852567</v>
      </c>
      <c r="AJ31" s="14">
        <v>90.5749652294854</v>
      </c>
      <c r="AK31" s="14">
        <v>76.275104311543814</v>
      </c>
      <c r="AL31" s="14">
        <v>43.694993045897078</v>
      </c>
      <c r="AM31" s="14">
        <v>46.59763560500695</v>
      </c>
      <c r="AN31" s="14">
        <v>36.313073713490958</v>
      </c>
      <c r="AO31" s="14">
        <v>42.861613351877608</v>
      </c>
      <c r="AP31" s="14">
        <v>19.648400556328234</v>
      </c>
      <c r="AQ31" s="14">
        <v>33.438386648122396</v>
      </c>
      <c r="AR31" s="14">
        <v>13.339777468706536</v>
      </c>
      <c r="AS31" s="14">
        <v>5.3095966620305983</v>
      </c>
      <c r="AT31" s="14">
        <v>13.711682892906817</v>
      </c>
      <c r="AU31" s="2"/>
      <c r="AV31" s="11"/>
      <c r="AW31" s="11"/>
      <c r="AX31" s="2"/>
      <c r="AY31" s="94"/>
      <c r="AZ31" s="146" t="s">
        <v>31</v>
      </c>
      <c r="BA31" s="146"/>
      <c r="BB31" s="146"/>
      <c r="BC31" s="146"/>
      <c r="BD31" s="146"/>
      <c r="BE31" s="146"/>
      <c r="BF31" s="146"/>
      <c r="BG31" s="146"/>
      <c r="BH31" s="146"/>
      <c r="BI31" s="146"/>
      <c r="BJ31" s="146"/>
      <c r="BK31" s="146"/>
      <c r="BL31" s="146"/>
      <c r="BM31" s="146"/>
      <c r="BN31" s="146"/>
      <c r="BO31" s="146"/>
      <c r="BP31" s="146"/>
      <c r="BQ31" s="146"/>
      <c r="BR31" s="146"/>
      <c r="BS31" s="147"/>
      <c r="BT31" s="2"/>
      <c r="BU31" s="2"/>
      <c r="BV31" s="2"/>
      <c r="BW31" s="2"/>
      <c r="BX31" s="2"/>
      <c r="BY31" s="2"/>
      <c r="BZ31" s="13"/>
      <c r="CA31" s="13"/>
      <c r="CB31" s="18">
        <f t="shared" si="11"/>
        <v>29.576516577826236</v>
      </c>
      <c r="CC31" s="10">
        <f t="shared" si="12"/>
        <v>30.686801964182589</v>
      </c>
      <c r="CD31" s="10">
        <f t="shared" si="13"/>
        <v>33.978406323984672</v>
      </c>
      <c r="CE31" s="10">
        <f t="shared" si="14"/>
        <v>35.116343411573894</v>
      </c>
      <c r="CF31" s="10">
        <f t="shared" si="15"/>
        <v>37.297383993036306</v>
      </c>
      <c r="CG31" s="10">
        <f t="shared" si="16"/>
        <v>41.788155297853578</v>
      </c>
      <c r="CH31" s="10">
        <f t="shared" si="17"/>
        <v>50.288771247908208</v>
      </c>
      <c r="CI31" s="10">
        <f t="shared" si="18"/>
        <v>57.078897894911925</v>
      </c>
      <c r="CJ31" s="10">
        <f t="shared" si="19"/>
        <v>58.192777716774373</v>
      </c>
      <c r="CK31" s="10">
        <f t="shared" si="20"/>
        <v>61.914964742995899</v>
      </c>
      <c r="CL31" s="10">
        <f t="shared" si="21"/>
        <v>70.800379152119049</v>
      </c>
      <c r="CM31" s="10">
        <f t="shared" si="22"/>
        <v>81.629137085509441</v>
      </c>
      <c r="CN31" s="10">
        <f t="shared" si="23"/>
        <v>82.618608776088905</v>
      </c>
      <c r="CO31" s="10">
        <f t="shared" si="24"/>
        <v>77.542488481687869</v>
      </c>
      <c r="CP31" s="10">
        <f t="shared" si="25"/>
        <v>70.652403215699366</v>
      </c>
      <c r="CQ31" s="10">
        <f t="shared" si="26"/>
        <v>62.0653811000819</v>
      </c>
      <c r="CR31" s="10">
        <f t="shared" si="27"/>
        <v>52.055962028944521</v>
      </c>
      <c r="CS31" s="10">
        <f t="shared" si="28"/>
        <v>43.791630856251281</v>
      </c>
      <c r="CT31" s="10">
        <f t="shared" si="29"/>
        <v>37.59603402458751</v>
      </c>
      <c r="CU31" s="19">
        <f t="shared" si="30"/>
        <v>41.321756557994227</v>
      </c>
      <c r="CZ31" s="1">
        <v>0.81967454197935463</v>
      </c>
      <c r="DC31" s="1">
        <v>0.86235890805856663</v>
      </c>
      <c r="DD31" s="1">
        <v>0.96201023524181384</v>
      </c>
      <c r="DE31" s="1">
        <v>0.98461620569404051</v>
      </c>
      <c r="DF31" s="1">
        <v>0.99204964523568606</v>
      </c>
    </row>
    <row r="32" spans="2:110" x14ac:dyDescent="0.25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14">
        <v>21.906258692628651</v>
      </c>
      <c r="AB32" s="14">
        <v>43.889012517385261</v>
      </c>
      <c r="AC32" s="14">
        <v>45.813630041724615</v>
      </c>
      <c r="AD32" s="14">
        <v>66.337691237830327</v>
      </c>
      <c r="AE32" s="14">
        <v>58.238803894297632</v>
      </c>
      <c r="AF32" s="14">
        <v>38.836300417246171</v>
      </c>
      <c r="AG32" s="14">
        <v>56.31724617524339</v>
      </c>
      <c r="AH32" s="14">
        <v>59.44061196105703</v>
      </c>
      <c r="AI32" s="14">
        <v>72.771070931849792</v>
      </c>
      <c r="AJ32" s="14">
        <v>99.091098748261473</v>
      </c>
      <c r="AK32" s="14">
        <v>95.78052851182197</v>
      </c>
      <c r="AL32" s="14">
        <v>49.688038942976355</v>
      </c>
      <c r="AM32" s="14">
        <v>56.834353268428373</v>
      </c>
      <c r="AN32" s="14">
        <v>51.975938803894294</v>
      </c>
      <c r="AO32" s="14">
        <v>41.974408901251735</v>
      </c>
      <c r="AP32" s="14">
        <v>26.1105702364395</v>
      </c>
      <c r="AQ32" s="14">
        <v>17.610152990264258</v>
      </c>
      <c r="AR32" s="14">
        <v>14.6884561891516</v>
      </c>
      <c r="AS32" s="14">
        <v>16.945897079276772</v>
      </c>
      <c r="AT32" s="14">
        <v>17.243393602225314</v>
      </c>
      <c r="AU32" s="2"/>
      <c r="AV32" s="11"/>
      <c r="AW32" s="11"/>
      <c r="AX32" s="2"/>
      <c r="AY32" s="94"/>
      <c r="AZ32" s="146" t="s">
        <v>29</v>
      </c>
      <c r="BA32" s="146"/>
      <c r="BB32" s="146"/>
      <c r="BC32" s="146"/>
      <c r="BD32" s="146"/>
      <c r="BE32" s="146"/>
      <c r="BF32" s="146"/>
      <c r="BG32" s="146"/>
      <c r="BH32" s="146"/>
      <c r="BI32" s="146"/>
      <c r="BJ32" s="146"/>
      <c r="BK32" s="146"/>
      <c r="BL32" s="146"/>
      <c r="BM32" s="146"/>
      <c r="BN32" s="146"/>
      <c r="BO32" s="146"/>
      <c r="BP32" s="146"/>
      <c r="BQ32" s="146"/>
      <c r="BR32" s="146"/>
      <c r="BS32" s="147"/>
      <c r="BT32" s="2"/>
      <c r="BU32" s="2"/>
      <c r="BV32" s="2"/>
      <c r="BW32" s="2"/>
      <c r="BX32" s="2"/>
      <c r="BY32" s="2"/>
      <c r="BZ32" s="2"/>
      <c r="CA32" s="2"/>
      <c r="CB32" s="18">
        <f t="shared" si="11"/>
        <v>25.566160816577263</v>
      </c>
      <c r="CC32" s="10">
        <f t="shared" si="12"/>
        <v>27.59021574785254</v>
      </c>
      <c r="CD32" s="10">
        <f t="shared" si="13"/>
        <v>32.334610696446674</v>
      </c>
      <c r="CE32" s="10">
        <f t="shared" si="14"/>
        <v>37.353867889422283</v>
      </c>
      <c r="CF32" s="10">
        <f t="shared" si="15"/>
        <v>42.682140615395269</v>
      </c>
      <c r="CG32" s="10">
        <f t="shared" si="16"/>
        <v>48.134568529863181</v>
      </c>
      <c r="CH32" s="10">
        <f t="shared" si="17"/>
        <v>56.058456102690918</v>
      </c>
      <c r="CI32" s="10">
        <f t="shared" si="18"/>
        <v>58.710101339525067</v>
      </c>
      <c r="CJ32" s="10">
        <f t="shared" si="19"/>
        <v>57.40874101708588</v>
      </c>
      <c r="CK32" s="10">
        <f t="shared" si="20"/>
        <v>61.005331283901732</v>
      </c>
      <c r="CL32" s="10">
        <f t="shared" si="21"/>
        <v>69.905690432132872</v>
      </c>
      <c r="CM32" s="10">
        <f t="shared" si="22"/>
        <v>83.393993132657641</v>
      </c>
      <c r="CN32" s="10">
        <f t="shared" si="23"/>
        <v>80.721516904758005</v>
      </c>
      <c r="CO32" s="10">
        <f t="shared" si="24"/>
        <v>74.900274488925177</v>
      </c>
      <c r="CP32" s="10">
        <f t="shared" si="25"/>
        <v>63.946809937701005</v>
      </c>
      <c r="CQ32" s="10">
        <f t="shared" si="26"/>
        <v>55.389606764160554</v>
      </c>
      <c r="CR32" s="10">
        <f t="shared" si="27"/>
        <v>46.9991615867891</v>
      </c>
      <c r="CS32" s="10">
        <f t="shared" si="28"/>
        <v>41.925304672591466</v>
      </c>
      <c r="CT32" s="10">
        <f t="shared" si="29"/>
        <v>37.699591958772196</v>
      </c>
      <c r="CU32" s="19">
        <f t="shared" si="30"/>
        <v>41.748517809875018</v>
      </c>
      <c r="CZ32" s="1">
        <v>0.81980922865320416</v>
      </c>
      <c r="DC32" s="1">
        <v>0.86375336592770346</v>
      </c>
      <c r="DD32" s="1">
        <v>0.96270683668253909</v>
      </c>
      <c r="DE32" s="1">
        <v>0.98427484153813527</v>
      </c>
      <c r="DF32" s="1">
        <v>0.991786084413249</v>
      </c>
    </row>
    <row r="33" spans="1:110" x14ac:dyDescent="0.25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14">
        <v>55.970514603616138</v>
      </c>
      <c r="AB33" s="14">
        <v>38.920445062586928</v>
      </c>
      <c r="AC33" s="14">
        <v>27.098887343532681</v>
      </c>
      <c r="AD33" s="14">
        <v>26.127399165507647</v>
      </c>
      <c r="AE33" s="14">
        <v>32.843115438108484</v>
      </c>
      <c r="AF33" s="14">
        <v>39.323783031988874</v>
      </c>
      <c r="AG33" s="14">
        <v>46.418776077885951</v>
      </c>
      <c r="AH33" s="14">
        <v>99.339777468706544</v>
      </c>
      <c r="AI33" s="14">
        <v>78.727399165507649</v>
      </c>
      <c r="AJ33" s="14">
        <v>67.274547983310157</v>
      </c>
      <c r="AK33" s="14">
        <v>57.42767732962448</v>
      </c>
      <c r="AL33" s="14">
        <v>40.518080667593878</v>
      </c>
      <c r="AM33" s="14">
        <v>65.878025034770516</v>
      </c>
      <c r="AN33" s="14">
        <v>53.852573018080669</v>
      </c>
      <c r="AO33" s="14">
        <v>50.518080667593878</v>
      </c>
      <c r="AP33" s="14">
        <v>54.549791376912381</v>
      </c>
      <c r="AQ33" s="14">
        <v>29.347705146036162</v>
      </c>
      <c r="AR33" s="14">
        <v>12.400278164116829</v>
      </c>
      <c r="AS33" s="14">
        <v>21.747983310152989</v>
      </c>
      <c r="AT33" s="14">
        <v>31.052155771905426</v>
      </c>
      <c r="AU33" s="2"/>
      <c r="AV33" s="11"/>
      <c r="AW33" s="11"/>
      <c r="AX33" s="2"/>
      <c r="AY33" s="94"/>
      <c r="AZ33" s="146" t="s">
        <v>28</v>
      </c>
      <c r="BA33" s="146"/>
      <c r="BB33" s="146"/>
      <c r="BC33" s="146"/>
      <c r="BD33" s="146"/>
      <c r="BE33" s="146"/>
      <c r="BF33" s="146"/>
      <c r="BG33" s="146"/>
      <c r="BH33" s="146"/>
      <c r="BI33" s="146"/>
      <c r="BJ33" s="146"/>
      <c r="BK33" s="146"/>
      <c r="BL33" s="146"/>
      <c r="BM33" s="146"/>
      <c r="BN33" s="146"/>
      <c r="BO33" s="146"/>
      <c r="BP33" s="146"/>
      <c r="BQ33" s="146"/>
      <c r="BR33" s="146"/>
      <c r="BS33" s="147"/>
      <c r="BT33" s="2"/>
      <c r="BU33" s="2"/>
      <c r="BV33" s="2"/>
      <c r="BW33" s="2"/>
      <c r="BX33" s="2"/>
      <c r="BY33" s="2"/>
      <c r="BZ33" s="2"/>
      <c r="CA33" s="2"/>
      <c r="CB33" s="18">
        <f t="shared" si="11"/>
        <v>32.780616826436116</v>
      </c>
      <c r="CC33" s="10">
        <f t="shared" si="12"/>
        <v>34.995652725723936</v>
      </c>
      <c r="CD33" s="10">
        <f t="shared" si="13"/>
        <v>41.175231665517899</v>
      </c>
      <c r="CE33" s="10">
        <f t="shared" si="14"/>
        <v>49.081871066371377</v>
      </c>
      <c r="CF33" s="10">
        <f t="shared" si="15"/>
        <v>54.222430823199133</v>
      </c>
      <c r="CG33" s="10">
        <f t="shared" si="16"/>
        <v>55.950270244410582</v>
      </c>
      <c r="CH33" s="10">
        <f t="shared" si="17"/>
        <v>55.620139942608397</v>
      </c>
      <c r="CI33" s="10">
        <f t="shared" si="18"/>
        <v>55.315659031076535</v>
      </c>
      <c r="CJ33" s="10">
        <f t="shared" si="19"/>
        <v>51.852160849011469</v>
      </c>
      <c r="CK33" s="10">
        <f t="shared" si="20"/>
        <v>57.140238738712668</v>
      </c>
      <c r="CL33" s="10">
        <f t="shared" si="21"/>
        <v>63.11492271102103</v>
      </c>
      <c r="CM33" s="10">
        <f t="shared" si="22"/>
        <v>71.904395277051094</v>
      </c>
      <c r="CN33" s="10">
        <f t="shared" si="23"/>
        <v>65.045268470922565</v>
      </c>
      <c r="CO33" s="10">
        <f t="shared" si="24"/>
        <v>60.478531135974585</v>
      </c>
      <c r="CP33" s="10">
        <f t="shared" si="25"/>
        <v>54.776350699482464</v>
      </c>
      <c r="CQ33" s="10">
        <f t="shared" si="26"/>
        <v>50.374718157974392</v>
      </c>
      <c r="CR33" s="10">
        <f t="shared" si="27"/>
        <v>47.086933764269048</v>
      </c>
      <c r="CS33" s="10">
        <f t="shared" si="28"/>
        <v>44.565467095178732</v>
      </c>
      <c r="CT33" s="10">
        <f t="shared" si="29"/>
        <v>43.512526185662097</v>
      </c>
      <c r="CU33" s="19">
        <f t="shared" si="30"/>
        <v>44.545802277605077</v>
      </c>
      <c r="CZ33" s="1">
        <v>0.81993531942018105</v>
      </c>
      <c r="DC33" s="1">
        <v>0.86514790246355777</v>
      </c>
      <c r="DD33" s="1">
        <v>0.9633970284956056</v>
      </c>
      <c r="DE33" s="1">
        <v>0.98391998634471733</v>
      </c>
      <c r="DF33" s="1">
        <v>0.99150941893207489</v>
      </c>
    </row>
    <row r="34" spans="1:110" x14ac:dyDescent="0.25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14">
        <v>15.378720445062585</v>
      </c>
      <c r="AB34" s="14">
        <v>17.685118219749654</v>
      </c>
      <c r="AC34" s="14">
        <v>21.395827538247566</v>
      </c>
      <c r="AD34" s="14">
        <v>35.138803894297638</v>
      </c>
      <c r="AE34" s="14">
        <v>50.988595271210016</v>
      </c>
      <c r="AF34" s="14">
        <v>87.391515994436716</v>
      </c>
      <c r="AG34" s="14">
        <v>81.315716272600838</v>
      </c>
      <c r="AH34" s="14">
        <v>79.28414464534076</v>
      </c>
      <c r="AI34" s="14">
        <v>72.021140472878997</v>
      </c>
      <c r="AJ34" s="14">
        <v>52.580945757997213</v>
      </c>
      <c r="AK34" s="14">
        <v>71.442976356050067</v>
      </c>
      <c r="AL34" s="14">
        <v>36.840333796940193</v>
      </c>
      <c r="AM34" s="14">
        <v>34.213630041724613</v>
      </c>
      <c r="AN34" s="14">
        <v>60.420723226703757</v>
      </c>
      <c r="AO34" s="14">
        <v>61.483171070931853</v>
      </c>
      <c r="AP34" s="14">
        <v>42.825869262865091</v>
      </c>
      <c r="AQ34" s="14">
        <v>21.878720445062587</v>
      </c>
      <c r="AR34" s="14">
        <v>51.418776077885951</v>
      </c>
      <c r="AS34" s="14">
        <v>9.5399165507649517</v>
      </c>
      <c r="AT34" s="14">
        <v>9.0532684283727409</v>
      </c>
      <c r="AU34" s="2"/>
      <c r="AV34" s="11"/>
      <c r="AW34" s="11"/>
      <c r="AX34" s="2"/>
      <c r="AY34" s="96"/>
      <c r="AZ34" s="97"/>
      <c r="BA34" s="97"/>
      <c r="BB34" s="97"/>
      <c r="BC34" s="97"/>
      <c r="BD34" s="97"/>
      <c r="BE34" s="97"/>
      <c r="BF34" s="97"/>
      <c r="BG34" s="97"/>
      <c r="BH34" s="97"/>
      <c r="BI34" s="97"/>
      <c r="BJ34" s="97"/>
      <c r="BK34" s="97"/>
      <c r="BL34" s="97"/>
      <c r="BM34" s="97"/>
      <c r="BN34" s="97"/>
      <c r="BO34" s="97"/>
      <c r="BP34" s="97"/>
      <c r="BQ34" s="97"/>
      <c r="BR34" s="97"/>
      <c r="BS34" s="98"/>
      <c r="BT34" s="2"/>
      <c r="BU34" s="2"/>
      <c r="BV34" s="2"/>
      <c r="BW34" s="2"/>
      <c r="BX34" s="2"/>
      <c r="BY34" s="2"/>
      <c r="BZ34" s="2"/>
      <c r="CA34" s="2"/>
      <c r="CB34" s="18">
        <f t="shared" si="11"/>
        <v>44.816708480073856</v>
      </c>
      <c r="CC34" s="10">
        <f t="shared" si="12"/>
        <v>43.540362585709609</v>
      </c>
      <c r="CD34" s="10">
        <f t="shared" si="13"/>
        <v>43.828127877461554</v>
      </c>
      <c r="CE34" s="10">
        <f t="shared" si="14"/>
        <v>49.688534155938591</v>
      </c>
      <c r="CF34" s="10">
        <f t="shared" si="15"/>
        <v>53.864268387136235</v>
      </c>
      <c r="CG34" s="10">
        <f t="shared" si="16"/>
        <v>54.70498308801681</v>
      </c>
      <c r="CH34" s="10">
        <f t="shared" si="17"/>
        <v>50.519868371495335</v>
      </c>
      <c r="CI34" s="10">
        <f t="shared" si="18"/>
        <v>49.212699355938604</v>
      </c>
      <c r="CJ34" s="10">
        <f t="shared" si="19"/>
        <v>49.421982214149274</v>
      </c>
      <c r="CK34" s="10">
        <f t="shared" si="20"/>
        <v>53.273855178169292</v>
      </c>
      <c r="CL34" s="10">
        <f t="shared" si="21"/>
        <v>56.636769162593993</v>
      </c>
      <c r="CM34" s="10">
        <f t="shared" si="22"/>
        <v>58.731875040568106</v>
      </c>
      <c r="CN34" s="10">
        <f t="shared" si="23"/>
        <v>52.801082602488094</v>
      </c>
      <c r="CO34" s="10">
        <f t="shared" si="24"/>
        <v>50.625441713375537</v>
      </c>
      <c r="CP34" s="10">
        <f t="shared" si="25"/>
        <v>46.797198759153332</v>
      </c>
      <c r="CQ34" s="10">
        <f t="shared" si="26"/>
        <v>45.427614768976774</v>
      </c>
      <c r="CR34" s="10">
        <f t="shared" si="27"/>
        <v>43.370196835970141</v>
      </c>
      <c r="CS34" s="10">
        <f t="shared" si="28"/>
        <v>43.304774324585424</v>
      </c>
      <c r="CT34" s="10">
        <f t="shared" si="29"/>
        <v>43.419649916240786</v>
      </c>
      <c r="CU34" s="19">
        <f t="shared" si="30"/>
        <v>44.009093138301907</v>
      </c>
      <c r="CZ34" s="1">
        <v>0.82005263584146926</v>
      </c>
      <c r="DC34" s="1">
        <v>0.86654238415849671</v>
      </c>
      <c r="DD34" s="1">
        <v>0.96408061990075788</v>
      </c>
      <c r="DE34" s="1">
        <v>0.9835514135802883</v>
      </c>
      <c r="DF34" s="1">
        <v>0.99121942215967984</v>
      </c>
    </row>
    <row r="35" spans="1:110" x14ac:dyDescent="0.25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14">
        <v>13.815716272600834</v>
      </c>
      <c r="AB35" s="14">
        <v>25.338803894297634</v>
      </c>
      <c r="AC35" s="14">
        <v>41.143532684283727</v>
      </c>
      <c r="AD35" s="14">
        <v>71.332962447844224</v>
      </c>
      <c r="AE35" s="14">
        <v>93.575660639777468</v>
      </c>
      <c r="AF35" s="14">
        <v>99.663977746870643</v>
      </c>
      <c r="AG35" s="14">
        <v>99.634770514603602</v>
      </c>
      <c r="AH35" s="14">
        <v>90.676495132127954</v>
      </c>
      <c r="AI35" s="14">
        <v>48.821418636995823</v>
      </c>
      <c r="AJ35" s="14">
        <v>46.776077885952709</v>
      </c>
      <c r="AK35" s="14">
        <v>41.537134909596666</v>
      </c>
      <c r="AL35" s="14">
        <v>30.729346314325454</v>
      </c>
      <c r="AM35" s="14">
        <v>69.156745479833091</v>
      </c>
      <c r="AN35" s="14">
        <v>40.612656467315716</v>
      </c>
      <c r="AO35" s="14">
        <v>55.561196105702365</v>
      </c>
      <c r="AP35" s="14">
        <v>29.753407510431156</v>
      </c>
      <c r="AQ35" s="14">
        <v>13.166759388038942</v>
      </c>
      <c r="AR35" s="14">
        <v>14.050069541029208</v>
      </c>
      <c r="AS35" s="14">
        <v>29.295549374130736</v>
      </c>
      <c r="AT35" s="14">
        <v>21.669958275382477</v>
      </c>
      <c r="AU35" s="2"/>
      <c r="AV35" s="11"/>
      <c r="AW35" s="11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18">
        <f t="shared" si="11"/>
        <v>42.9017612299589</v>
      </c>
      <c r="CC35" s="10">
        <f t="shared" si="12"/>
        <v>40.596183195369917</v>
      </c>
      <c r="CD35" s="10">
        <f t="shared" si="13"/>
        <v>40.214752143125075</v>
      </c>
      <c r="CE35" s="10">
        <f t="shared" si="14"/>
        <v>42.670901340513012</v>
      </c>
      <c r="CF35" s="10">
        <f t="shared" si="15"/>
        <v>47.475791773443916</v>
      </c>
      <c r="CG35" s="10">
        <f t="shared" si="16"/>
        <v>51.02090794424327</v>
      </c>
      <c r="CH35" s="10">
        <f t="shared" si="17"/>
        <v>53.207971035970409</v>
      </c>
      <c r="CI35" s="10">
        <f t="shared" si="18"/>
        <v>53.527452283789984</v>
      </c>
      <c r="CJ35" s="10">
        <f t="shared" si="19"/>
        <v>54.472632003292809</v>
      </c>
      <c r="CK35" s="10">
        <f t="shared" si="20"/>
        <v>52.386988124840457</v>
      </c>
      <c r="CL35" s="10">
        <f t="shared" si="21"/>
        <v>51.423674940707322</v>
      </c>
      <c r="CM35" s="10">
        <f t="shared" si="22"/>
        <v>43.976797876884135</v>
      </c>
      <c r="CN35" s="10">
        <f t="shared" si="23"/>
        <v>38.864466049485642</v>
      </c>
      <c r="CO35" s="10">
        <f t="shared" si="24"/>
        <v>37.099753208467831</v>
      </c>
      <c r="CP35" s="10">
        <f t="shared" si="25"/>
        <v>39.195292329625573</v>
      </c>
      <c r="CQ35" s="10">
        <f t="shared" si="26"/>
        <v>40.870562319304689</v>
      </c>
      <c r="CR35" s="10">
        <f t="shared" si="27"/>
        <v>39.763707070740963</v>
      </c>
      <c r="CS35" s="10">
        <f t="shared" si="28"/>
        <v>37.355622204736818</v>
      </c>
      <c r="CT35" s="10">
        <f t="shared" si="29"/>
        <v>36.1561058947524</v>
      </c>
      <c r="CU35" s="19">
        <f t="shared" si="30"/>
        <v>37.509514891561238</v>
      </c>
      <c r="CZ35" s="1">
        <v>0.82016099656946972</v>
      </c>
      <c r="DC35" s="1">
        <v>0.86793667405973984</v>
      </c>
      <c r="DD35" s="1">
        <v>0.96475741646579616</v>
      </c>
      <c r="DE35" s="1">
        <v>0.98316889352107273</v>
      </c>
      <c r="DF35" s="1">
        <v>0.99091586419544542</v>
      </c>
    </row>
    <row r="36" spans="1:110" x14ac:dyDescent="0.25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14">
        <v>37.831432545201665</v>
      </c>
      <c r="AB36" s="14">
        <v>47.232267037552155</v>
      </c>
      <c r="AC36" s="14">
        <v>94.71293463143256</v>
      </c>
      <c r="AD36" s="14">
        <v>98.262865090403338</v>
      </c>
      <c r="AE36" s="14">
        <v>99.768984700973562</v>
      </c>
      <c r="AF36" s="14">
        <v>97.026703755215578</v>
      </c>
      <c r="AG36" s="14">
        <v>94.194853963838668</v>
      </c>
      <c r="AH36" s="14">
        <v>70.006119610570238</v>
      </c>
      <c r="AI36" s="14">
        <v>84.053685674547978</v>
      </c>
      <c r="AJ36" s="14">
        <v>59.121418636995834</v>
      </c>
      <c r="AK36" s="14">
        <v>33.035187760778861</v>
      </c>
      <c r="AL36" s="14">
        <v>28.060222531293462</v>
      </c>
      <c r="AM36" s="14">
        <v>20.125730180806677</v>
      </c>
      <c r="AN36" s="14">
        <v>20.798470097357441</v>
      </c>
      <c r="AO36" s="14">
        <v>46.735048678720446</v>
      </c>
      <c r="AP36" s="14">
        <v>42.178025034770513</v>
      </c>
      <c r="AQ36" s="14">
        <v>18.833796940194716</v>
      </c>
      <c r="AR36" s="14">
        <v>40.964673157162721</v>
      </c>
      <c r="AS36" s="14">
        <v>12.6346314325452</v>
      </c>
      <c r="AT36" s="14">
        <v>6.0853963838664811</v>
      </c>
      <c r="AU36" s="2"/>
      <c r="AV36" s="11"/>
      <c r="AW36" s="11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0">
        <f t="shared" si="11"/>
        <v>38.372853494392125</v>
      </c>
      <c r="CC36" s="21">
        <f t="shared" si="12"/>
        <v>36.318577398568507</v>
      </c>
      <c r="CD36" s="21">
        <f t="shared" si="13"/>
        <v>35.763422569799175</v>
      </c>
      <c r="CE36" s="21">
        <f t="shared" si="14"/>
        <v>35.661369304894762</v>
      </c>
      <c r="CF36" s="21">
        <f t="shared" si="15"/>
        <v>39.939673915888449</v>
      </c>
      <c r="CG36" s="21">
        <f t="shared" si="16"/>
        <v>46.376019755171882</v>
      </c>
      <c r="CH36" s="21">
        <f t="shared" si="17"/>
        <v>53.263046569448264</v>
      </c>
      <c r="CI36" s="21">
        <f t="shared" si="18"/>
        <v>55.276172743057728</v>
      </c>
      <c r="CJ36" s="21">
        <f t="shared" si="19"/>
        <v>55.838874946672121</v>
      </c>
      <c r="CK36" s="21">
        <f t="shared" si="20"/>
        <v>53.799327567165925</v>
      </c>
      <c r="CL36" s="21">
        <f t="shared" si="21"/>
        <v>53.076470752522049</v>
      </c>
      <c r="CM36" s="21">
        <f t="shared" si="22"/>
        <v>48.599014316176358</v>
      </c>
      <c r="CN36" s="21">
        <f t="shared" si="23"/>
        <v>44.847104693277196</v>
      </c>
      <c r="CO36" s="21">
        <f t="shared" si="24"/>
        <v>43.119346472963088</v>
      </c>
      <c r="CP36" s="21">
        <f t="shared" si="25"/>
        <v>40.22757487528883</v>
      </c>
      <c r="CQ36" s="21">
        <f t="shared" si="26"/>
        <v>38.458425038567235</v>
      </c>
      <c r="CR36" s="21">
        <f t="shared" si="27"/>
        <v>34.49307103546122</v>
      </c>
      <c r="CS36" s="21">
        <f t="shared" si="28"/>
        <v>32.512374691642691</v>
      </c>
      <c r="CT36" s="21">
        <f t="shared" si="29"/>
        <v>31.626029153795077</v>
      </c>
      <c r="CU36" s="22">
        <f t="shared" si="30"/>
        <v>33.606467026293743</v>
      </c>
      <c r="CZ36" s="1">
        <v>0.82026021731260279</v>
      </c>
      <c r="DC36" s="1">
        <v>0.86933063170221414</v>
      </c>
      <c r="DD36" s="1">
        <v>0.96542722005154025</v>
      </c>
      <c r="DE36" s="1">
        <v>0.98277219322447329</v>
      </c>
      <c r="DF36" s="1">
        <v>0.99059851183962166</v>
      </c>
    </row>
    <row r="37" spans="1:110" x14ac:dyDescent="0.25">
      <c r="W37" s="2"/>
      <c r="X37" s="2"/>
      <c r="Y37" s="2"/>
      <c r="Z37" s="2"/>
      <c r="AA37" s="14">
        <v>98.7076495132128</v>
      </c>
      <c r="AB37" s="14">
        <v>98.206119610570227</v>
      </c>
      <c r="AC37" s="14">
        <v>65.413351877607781</v>
      </c>
      <c r="AD37" s="14">
        <v>60.327677329624478</v>
      </c>
      <c r="AE37" s="14">
        <v>89.235465924895692</v>
      </c>
      <c r="AF37" s="14">
        <v>83.1547983310153</v>
      </c>
      <c r="AG37" s="14">
        <v>94.697913769123787</v>
      </c>
      <c r="AH37" s="14">
        <v>93.77037552155771</v>
      </c>
      <c r="AI37" s="14">
        <v>69.737830319888729</v>
      </c>
      <c r="AJ37" s="14">
        <v>89.907788595271199</v>
      </c>
      <c r="AK37" s="14">
        <v>46.048817802503478</v>
      </c>
      <c r="AL37" s="14">
        <v>33.124895688456185</v>
      </c>
      <c r="AM37" s="14">
        <v>17.838108484005563</v>
      </c>
      <c r="AN37" s="14">
        <v>22.52795549374131</v>
      </c>
      <c r="AO37" s="14">
        <v>29.57287899860918</v>
      </c>
      <c r="AP37" s="14">
        <v>13.32934631432545</v>
      </c>
      <c r="AQ37" s="14">
        <v>20.860222531293463</v>
      </c>
      <c r="AR37" s="14">
        <v>15.618636995827536</v>
      </c>
      <c r="AS37" s="14">
        <v>9.3649513212795537</v>
      </c>
      <c r="AT37" s="14">
        <v>7.3543810848400559</v>
      </c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Z37" s="1">
        <v>0.82035011080018916</v>
      </c>
      <c r="DC37" s="1">
        <v>0.87072411304053254</v>
      </c>
      <c r="DD37" s="1">
        <v>0.96608982875641203</v>
      </c>
      <c r="DE37" s="1">
        <v>0.98236107650103155</v>
      </c>
      <c r="DF37" s="1">
        <v>0.9902671285627429</v>
      </c>
    </row>
    <row r="38" spans="1:110" ht="18.75" x14ac:dyDescent="0.3">
      <c r="W38" s="2"/>
      <c r="X38" s="2"/>
      <c r="Y38" s="2"/>
      <c r="Z38" s="2"/>
      <c r="AA38" s="14">
        <v>24.326147426981919</v>
      </c>
      <c r="AB38" s="14">
        <v>41.141307371349093</v>
      </c>
      <c r="AC38" s="14">
        <v>39.110431154381089</v>
      </c>
      <c r="AD38" s="14">
        <v>42.640333796940197</v>
      </c>
      <c r="AE38" s="14">
        <v>64.119888734353268</v>
      </c>
      <c r="AF38" s="14">
        <v>92.907788595271199</v>
      </c>
      <c r="AG38" s="14">
        <v>99.855910987482602</v>
      </c>
      <c r="AH38" s="14">
        <v>99.947705146036157</v>
      </c>
      <c r="AI38" s="14">
        <v>98.248817802503467</v>
      </c>
      <c r="AJ38" s="14">
        <v>90.776634214186373</v>
      </c>
      <c r="AK38" s="14">
        <v>74.793880389429773</v>
      </c>
      <c r="AL38" s="14">
        <v>36.143810848400555</v>
      </c>
      <c r="AM38" s="14">
        <v>26.694853963838664</v>
      </c>
      <c r="AN38" s="14">
        <v>25.046870653685676</v>
      </c>
      <c r="AO38" s="14">
        <v>12.659944367176633</v>
      </c>
      <c r="AP38" s="14">
        <v>24.716968011126564</v>
      </c>
      <c r="AQ38" s="14">
        <v>45.912517385257303</v>
      </c>
      <c r="AR38" s="14">
        <v>6.7898470097357437</v>
      </c>
      <c r="AS38" s="14">
        <v>6.9414464534075098</v>
      </c>
      <c r="AT38" s="14">
        <v>4.170792767732963</v>
      </c>
      <c r="AU38" s="2"/>
      <c r="AV38" s="2"/>
      <c r="AW38" s="2"/>
      <c r="AX38" s="2"/>
      <c r="AY38" s="2"/>
      <c r="AZ38" s="109" t="s">
        <v>35</v>
      </c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Z38" s="1">
        <v>0.82043048674742425</v>
      </c>
      <c r="DC38" s="1">
        <v>0.87211697038007741</v>
      </c>
      <c r="DD38" s="1">
        <v>0.96674503686077795</v>
      </c>
      <c r="DE38" s="1">
        <v>0.98193530388687134</v>
      </c>
      <c r="DF38" s="1">
        <v>0.98992147447549617</v>
      </c>
    </row>
    <row r="39" spans="1:110" x14ac:dyDescent="0.25">
      <c r="W39" s="2"/>
      <c r="X39" s="2"/>
      <c r="Y39" s="2"/>
      <c r="Z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15">
        <f>((CB27+CC27)/2)+((CB27+CC28)/2)+((CB27+CB28)/2)+((CB27+Z38)/2)+((CB27+Z37)/2)+((CB27+Z36)/2)+((CB27+AA36)/2)+((CB27+AB36)/2)/8</f>
        <v>153.14730128340082</v>
      </c>
      <c r="CC39" s="16">
        <f t="shared" ref="CC39:CT39" si="31">((CC27+CD27)/2)+((CC27+CD28)/2)+((CC27+CC28)/2)+((CC27+CB28)/2)+((CC27+CB27)/2)+((CC27+AA36)/2)+((CC27+AB36)/2)+((CC27+AC36)/2)/8</f>
        <v>255.61239358604445</v>
      </c>
      <c r="CD39" s="16">
        <f t="shared" si="31"/>
        <v>353.77427929098133</v>
      </c>
      <c r="CE39" s="16">
        <f t="shared" si="31"/>
        <v>414.21704471109069</v>
      </c>
      <c r="CF39" s="16">
        <f t="shared" si="31"/>
        <v>411.09444321101972</v>
      </c>
      <c r="CG39" s="16">
        <f t="shared" si="31"/>
        <v>411.44076331590389</v>
      </c>
      <c r="CH39" s="16">
        <f t="shared" si="31"/>
        <v>436.39070578988265</v>
      </c>
      <c r="CI39" s="16">
        <f t="shared" si="31"/>
        <v>454.69655485339661</v>
      </c>
      <c r="CJ39" s="16">
        <f t="shared" si="31"/>
        <v>442.9523089741042</v>
      </c>
      <c r="CK39" s="16">
        <f t="shared" si="31"/>
        <v>405.76608814611723</v>
      </c>
      <c r="CL39" s="16">
        <f t="shared" si="31"/>
        <v>372.4034277198478</v>
      </c>
      <c r="CM39" s="16">
        <f t="shared" si="31"/>
        <v>391.80706027499662</v>
      </c>
      <c r="CN39" s="16">
        <f t="shared" si="31"/>
        <v>396.90824561783245</v>
      </c>
      <c r="CO39" s="16">
        <f t="shared" si="31"/>
        <v>358.44527747386269</v>
      </c>
      <c r="CP39" s="16">
        <f t="shared" si="31"/>
        <v>292.34155240450491</v>
      </c>
      <c r="CQ39" s="16">
        <f t="shared" si="31"/>
        <v>261.40428920372398</v>
      </c>
      <c r="CR39" s="16">
        <f t="shared" si="31"/>
        <v>226.34086264324375</v>
      </c>
      <c r="CS39" s="16">
        <f t="shared" si="31"/>
        <v>208.72062983518614</v>
      </c>
      <c r="CT39" s="16">
        <f t="shared" si="31"/>
        <v>185.63509775288082</v>
      </c>
      <c r="CU39" s="17">
        <f>((CU27+AU37)/2)+((CU27+AU38)/2)+((CU27+CU28)/2)+((CU27+CT28)/2)+((CU27+CT27)/2)+((CU27+AS36)/2)+((CU27+AT36)/2)+((CU27+AU36)/2)/8</f>
        <v>155.91717029981243</v>
      </c>
      <c r="CZ39" s="1">
        <v>0.82050115182048677</v>
      </c>
      <c r="DC39" s="1">
        <v>0.87350905230720177</v>
      </c>
      <c r="DD39" s="1">
        <v>0.96739263477095672</v>
      </c>
      <c r="DE39" s="1">
        <v>0.9814946326167201</v>
      </c>
      <c r="DF39" s="1">
        <v>0.98956130629910077</v>
      </c>
    </row>
    <row r="40" spans="1:110" ht="21" x14ac:dyDescent="0.35">
      <c r="W40" s="2"/>
      <c r="X40" s="2"/>
      <c r="Y40" s="2"/>
      <c r="Z40" s="2"/>
      <c r="AA40" s="81" t="s">
        <v>6</v>
      </c>
      <c r="AU40" s="2"/>
      <c r="AV40" s="2"/>
      <c r="AW40" s="2"/>
      <c r="AX40" s="2"/>
      <c r="AZ40" s="2"/>
      <c r="BA40" s="2"/>
      <c r="BB40" s="2"/>
      <c r="BC40" s="2"/>
      <c r="BD40" s="1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18">
        <f t="shared" ref="CB40:CB48" si="32">((CB28+CC28)/2)+((CB28+CC29)/2)+((CB28+CB29)/2)+((CB28+Z39)/2)+((CB28+Z38)/2)+((CB28+Z37)/2)+((CB28+CB27)/2)+((CB28+CC27)/2)/8</f>
        <v>181.69721772545003</v>
      </c>
      <c r="CC40" s="10">
        <f t="shared" ref="CC40:CT40" si="33">((CC28+CD28)/2)+((CC28+CD29)/2)+((CC28+CC29)/2)+((CC28+CB29)/2)+((CC28+CB28)/2)+((CC28+CB27)/2)+((CC28+CC27)/2)+((CC28+CD27)/2)/8</f>
        <v>260.57293988706652</v>
      </c>
      <c r="CD40" s="10">
        <f t="shared" si="33"/>
        <v>319.2409028419238</v>
      </c>
      <c r="CE40" s="10">
        <f t="shared" si="33"/>
        <v>345.58942084614381</v>
      </c>
      <c r="CF40" s="10">
        <f t="shared" si="33"/>
        <v>334.62104960014437</v>
      </c>
      <c r="CG40" s="10">
        <f t="shared" si="33"/>
        <v>321.87403000212817</v>
      </c>
      <c r="CH40" s="10">
        <f t="shared" si="33"/>
        <v>339.89913303852279</v>
      </c>
      <c r="CI40" s="10">
        <f t="shared" si="33"/>
        <v>370.30953059723998</v>
      </c>
      <c r="CJ40" s="10">
        <f t="shared" si="33"/>
        <v>379.53054804456389</v>
      </c>
      <c r="CK40" s="10">
        <f t="shared" si="33"/>
        <v>378.60458674994857</v>
      </c>
      <c r="CL40" s="10">
        <f t="shared" si="33"/>
        <v>390.04101386557949</v>
      </c>
      <c r="CM40" s="10">
        <f t="shared" si="33"/>
        <v>434.44648070346216</v>
      </c>
      <c r="CN40" s="10">
        <f t="shared" si="33"/>
        <v>441.64822055742724</v>
      </c>
      <c r="CO40" s="10">
        <f t="shared" si="33"/>
        <v>416.30380552265501</v>
      </c>
      <c r="CP40" s="10">
        <f t="shared" si="33"/>
        <v>344.76085869099882</v>
      </c>
      <c r="CQ40" s="10">
        <f t="shared" si="33"/>
        <v>303.50277662289204</v>
      </c>
      <c r="CR40" s="10">
        <f t="shared" si="33"/>
        <v>265.65885882402495</v>
      </c>
      <c r="CS40" s="10">
        <f t="shared" si="33"/>
        <v>236.19970504107533</v>
      </c>
      <c r="CT40" s="10">
        <f t="shared" si="33"/>
        <v>210.90073582106587</v>
      </c>
      <c r="CU40" s="19">
        <f t="shared" ref="CU40:CU48" si="34">((CU28+AU38)/2)+((CU28+AU39)/2)+((CU28+CU29)/2)+((CU28+CT29)/2)+((CU28+CT28)/2)+((CU28+CT27)/2)+((CU28+CU27)/2)+((CU28+AU37)/2)/8</f>
        <v>189.56945564267261</v>
      </c>
      <c r="CZ40" s="1">
        <v>0.82056190960183051</v>
      </c>
      <c r="DC40" s="1">
        <v>0.87490020361856502</v>
      </c>
      <c r="DD40" s="1">
        <v>0.96803240896303666</v>
      </c>
      <c r="DE40" s="1">
        <v>0.98103881659752568</v>
      </c>
      <c r="DF40" s="1">
        <v>0.9891863773362044</v>
      </c>
    </row>
    <row r="41" spans="1:110" x14ac:dyDescent="0.25">
      <c r="W41" s="2"/>
      <c r="X41" s="2"/>
      <c r="Y41" s="2"/>
      <c r="Z41" s="2"/>
      <c r="AA41" s="31">
        <f>(AA7*AA29)</f>
        <v>849.22355791303869</v>
      </c>
      <c r="AB41" s="32">
        <f t="shared" ref="AB41:AT41" si="35">(AB7*AB29)</f>
        <v>2589.3315958684666</v>
      </c>
      <c r="AC41" s="32">
        <f t="shared" si="35"/>
        <v>3316.1864931776481</v>
      </c>
      <c r="AD41" s="32">
        <f t="shared" si="35"/>
        <v>3508.9601097576538</v>
      </c>
      <c r="AE41" s="32">
        <f t="shared" si="35"/>
        <v>5789.4350713883014</v>
      </c>
      <c r="AF41" s="32">
        <f t="shared" si="35"/>
        <v>5214.6406552619746</v>
      </c>
      <c r="AG41" s="32">
        <f t="shared" si="35"/>
        <v>7301.7892628681511</v>
      </c>
      <c r="AH41" s="32">
        <f t="shared" si="35"/>
        <v>8243.1704742637921</v>
      </c>
      <c r="AI41" s="32">
        <f t="shared" si="35"/>
        <v>7723.4414702997956</v>
      </c>
      <c r="AJ41" s="32">
        <f t="shared" si="35"/>
        <v>5770.4658885490808</v>
      </c>
      <c r="AK41" s="32">
        <f t="shared" si="35"/>
        <v>2648.6725960294143</v>
      </c>
      <c r="AL41" s="32">
        <f t="shared" si="35"/>
        <v>2442.9101786538745</v>
      </c>
      <c r="AM41" s="32">
        <f t="shared" si="35"/>
        <v>5143.5922714681774</v>
      </c>
      <c r="AN41" s="32">
        <f t="shared" si="35"/>
        <v>1001.5345090271383</v>
      </c>
      <c r="AO41" s="32">
        <f t="shared" si="35"/>
        <v>944.00805630236914</v>
      </c>
      <c r="AP41" s="32">
        <f t="shared" si="35"/>
        <v>166.31787223312082</v>
      </c>
      <c r="AQ41" s="32">
        <f t="shared" si="35"/>
        <v>2596.4518733942728</v>
      </c>
      <c r="AR41" s="32">
        <f t="shared" si="35"/>
        <v>792.62911808043907</v>
      </c>
      <c r="AS41" s="32">
        <f t="shared" si="35"/>
        <v>162.38100283981055</v>
      </c>
      <c r="AT41" s="33">
        <f t="shared" si="35"/>
        <v>19.580237577604926</v>
      </c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18">
        <f t="shared" si="32"/>
        <v>198.64656521959836</v>
      </c>
      <c r="CC41" s="10">
        <f t="shared" ref="CC41:CT41" si="36">((CC29+CD29)/2)+((CC29+CD30)/2)+((CC29+CC30)/2)+((CC29+CB30)/2)+((CC29+CB29)/2)+((CC29+CB28)/2)+((CC29+CC28)/2)+((CC29+CD28)/2)/8</f>
        <v>267.19552094130211</v>
      </c>
      <c r="CD41" s="10">
        <f t="shared" si="36"/>
        <v>298.33122668890235</v>
      </c>
      <c r="CE41" s="10">
        <f t="shared" si="36"/>
        <v>308.19366837282735</v>
      </c>
      <c r="CF41" s="10">
        <f t="shared" si="36"/>
        <v>295.28484337287654</v>
      </c>
      <c r="CG41" s="10">
        <f t="shared" si="36"/>
        <v>282.14357737579701</v>
      </c>
      <c r="CH41" s="10">
        <f t="shared" si="36"/>
        <v>289.48649769118083</v>
      </c>
      <c r="CI41" s="10">
        <f t="shared" si="36"/>
        <v>320.05846093056152</v>
      </c>
      <c r="CJ41" s="10">
        <f t="shared" si="36"/>
        <v>341.28212289586116</v>
      </c>
      <c r="CK41" s="10">
        <f t="shared" si="36"/>
        <v>374.47558396772541</v>
      </c>
      <c r="CL41" s="10">
        <f t="shared" si="36"/>
        <v>415.89111066607808</v>
      </c>
      <c r="CM41" s="10">
        <f t="shared" si="36"/>
        <v>474.64407760405282</v>
      </c>
      <c r="CN41" s="10">
        <f t="shared" si="36"/>
        <v>490.38216074518732</v>
      </c>
      <c r="CO41" s="10">
        <f t="shared" si="36"/>
        <v>470.09797706841988</v>
      </c>
      <c r="CP41" s="10">
        <f t="shared" si="36"/>
        <v>418.72042360524392</v>
      </c>
      <c r="CQ41" s="10">
        <f t="shared" si="36"/>
        <v>369.62807686567362</v>
      </c>
      <c r="CR41" s="10">
        <f t="shared" si="36"/>
        <v>324.78657108905577</v>
      </c>
      <c r="CS41" s="10">
        <f t="shared" si="36"/>
        <v>286.23032553771668</v>
      </c>
      <c r="CT41" s="10">
        <f t="shared" si="36"/>
        <v>269.12375835811417</v>
      </c>
      <c r="CU41" s="19">
        <f t="shared" si="34"/>
        <v>233.11628496914398</v>
      </c>
      <c r="CZ41" s="1">
        <v>0.82061256055564169</v>
      </c>
      <c r="DC41" s="1">
        <v>0.87629026524960019</v>
      </c>
      <c r="DD41" s="1">
        <v>0.96866414192641681</v>
      </c>
      <c r="DE41" s="1">
        <v>0.98056760638271034</v>
      </c>
      <c r="DF41" s="1">
        <v>0.98879643744239254</v>
      </c>
    </row>
    <row r="42" spans="1:110" x14ac:dyDescent="0.25">
      <c r="W42" s="2"/>
      <c r="X42" s="2"/>
      <c r="Y42" s="2"/>
      <c r="Z42" s="2"/>
      <c r="AA42" s="34">
        <f t="shared" ref="AA42:AT42" si="37">(AA8*AA30)</f>
        <v>221.23502728482276</v>
      </c>
      <c r="AB42" s="35">
        <f t="shared" si="37"/>
        <v>430.81090239110318</v>
      </c>
      <c r="AC42" s="35">
        <f t="shared" si="37"/>
        <v>3902.1466725478649</v>
      </c>
      <c r="AD42" s="35">
        <f t="shared" si="37"/>
        <v>4985.1268124788903</v>
      </c>
      <c r="AE42" s="35">
        <f t="shared" si="37"/>
        <v>3908.9901915009459</v>
      </c>
      <c r="AF42" s="35">
        <f t="shared" si="37"/>
        <v>2922.3499389920607</v>
      </c>
      <c r="AG42" s="35">
        <f t="shared" si="37"/>
        <v>4530.7391568309313</v>
      </c>
      <c r="AH42" s="35">
        <f t="shared" si="37"/>
        <v>5346.4878041870725</v>
      </c>
      <c r="AI42" s="35">
        <f t="shared" si="37"/>
        <v>5291.7998648357834</v>
      </c>
      <c r="AJ42" s="35">
        <f t="shared" si="37"/>
        <v>4694.9054619532317</v>
      </c>
      <c r="AK42" s="35">
        <f t="shared" si="37"/>
        <v>3625.0539067313098</v>
      </c>
      <c r="AL42" s="35">
        <f t="shared" si="37"/>
        <v>2701.0463321457423</v>
      </c>
      <c r="AM42" s="35">
        <f t="shared" si="37"/>
        <v>6930.8216534519061</v>
      </c>
      <c r="AN42" s="35">
        <f t="shared" si="37"/>
        <v>2504.1744155187866</v>
      </c>
      <c r="AO42" s="35">
        <f t="shared" si="37"/>
        <v>441.58122059751139</v>
      </c>
      <c r="AP42" s="35">
        <f t="shared" si="37"/>
        <v>479.04837482804345</v>
      </c>
      <c r="AQ42" s="35">
        <f t="shared" si="37"/>
        <v>164.61377816778739</v>
      </c>
      <c r="AR42" s="35">
        <f t="shared" si="37"/>
        <v>590.72657913118235</v>
      </c>
      <c r="AS42" s="35">
        <f t="shared" si="37"/>
        <v>687.8974667626054</v>
      </c>
      <c r="AT42" s="36">
        <f t="shared" si="37"/>
        <v>1449.5154376993671</v>
      </c>
      <c r="AU42" s="2"/>
      <c r="AV42" s="2"/>
      <c r="AW42" s="2"/>
      <c r="AX42" s="2"/>
      <c r="AY42" s="2"/>
      <c r="AZ42" s="2"/>
      <c r="BA42" s="2"/>
      <c r="BB42" s="2"/>
      <c r="BC42" s="2"/>
      <c r="BD42" s="1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18">
        <f t="shared" si="32"/>
        <v>205.8584816212844</v>
      </c>
      <c r="CC42" s="10">
        <f t="shared" ref="CC42:CT42" si="38">((CC30+CD30)/2)+((CC30+CD31)/2)+((CC30+CC31)/2)+((CC30+CB31)/2)+((CC30+CB30)/2)+((CC30+CB29)/2)+((CC30+CC29)/2)+((CC30+CD29)/2)/8</f>
        <v>261.45238286658491</v>
      </c>
      <c r="CD42" s="10">
        <f t="shared" si="38"/>
        <v>275.43902386343836</v>
      </c>
      <c r="CE42" s="10">
        <f t="shared" si="38"/>
        <v>277.15584398081597</v>
      </c>
      <c r="CF42" s="10">
        <f t="shared" si="38"/>
        <v>274.65138695018055</v>
      </c>
      <c r="CG42" s="10">
        <f t="shared" si="38"/>
        <v>277.29073760727238</v>
      </c>
      <c r="CH42" s="10">
        <f t="shared" si="38"/>
        <v>301.73480466444994</v>
      </c>
      <c r="CI42" s="10">
        <f t="shared" si="38"/>
        <v>337.16255904231332</v>
      </c>
      <c r="CJ42" s="10">
        <f t="shared" si="38"/>
        <v>365.70219308165167</v>
      </c>
      <c r="CK42" s="10">
        <f t="shared" si="38"/>
        <v>400.76841629636129</v>
      </c>
      <c r="CL42" s="10">
        <f t="shared" si="38"/>
        <v>456.84858920545622</v>
      </c>
      <c r="CM42" s="10">
        <f t="shared" si="38"/>
        <v>519.89930765973031</v>
      </c>
      <c r="CN42" s="10">
        <f t="shared" si="38"/>
        <v>540.29884223356521</v>
      </c>
      <c r="CO42" s="10">
        <f t="shared" si="38"/>
        <v>526.42570242419015</v>
      </c>
      <c r="CP42" s="10">
        <f t="shared" si="38"/>
        <v>487.47406176168602</v>
      </c>
      <c r="CQ42" s="10">
        <f t="shared" si="38"/>
        <v>443.99549929583162</v>
      </c>
      <c r="CR42" s="10">
        <f t="shared" si="38"/>
        <v>379.54770347463489</v>
      </c>
      <c r="CS42" s="10">
        <f t="shared" si="38"/>
        <v>319.42475400564479</v>
      </c>
      <c r="CT42" s="10">
        <f t="shared" si="38"/>
        <v>282.04145686103089</v>
      </c>
      <c r="CU42" s="19">
        <f t="shared" si="34"/>
        <v>245.48636676975272</v>
      </c>
      <c r="CZ42" s="1">
        <v>0.82065290199354957</v>
      </c>
      <c r="DC42" s="1">
        <v>0.87767907420214519</v>
      </c>
      <c r="DD42" s="1">
        <v>0.96928761210718872</v>
      </c>
      <c r="DE42" s="1">
        <v>0.98008074914714083</v>
      </c>
      <c r="DF42" s="1">
        <v>0.98839123299832132</v>
      </c>
    </row>
    <row r="43" spans="1:110" ht="21" x14ac:dyDescent="0.35">
      <c r="A43" s="83"/>
      <c r="B43" s="84" t="s">
        <v>10</v>
      </c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 t="s">
        <v>9</v>
      </c>
      <c r="W43" s="84"/>
      <c r="X43" s="85"/>
      <c r="Y43" s="86"/>
      <c r="Z43" s="2"/>
      <c r="AA43" s="34">
        <f t="shared" ref="AA43:AT43" si="39">(AA9*AA31)</f>
        <v>1910.7510018807554</v>
      </c>
      <c r="AB43" s="35">
        <f t="shared" si="39"/>
        <v>2732.1896424783863</v>
      </c>
      <c r="AC43" s="35">
        <f t="shared" si="39"/>
        <v>3240.8875765303355</v>
      </c>
      <c r="AD43" s="35">
        <f t="shared" si="39"/>
        <v>4412.6598008651499</v>
      </c>
      <c r="AE43" s="35">
        <f t="shared" si="39"/>
        <v>2316.821405228714</v>
      </c>
      <c r="AF43" s="35">
        <f t="shared" si="39"/>
        <v>1299.379411144293</v>
      </c>
      <c r="AG43" s="35">
        <f t="shared" si="39"/>
        <v>1495.1575638058303</v>
      </c>
      <c r="AH43" s="35">
        <f t="shared" si="39"/>
        <v>2518.7894611059569</v>
      </c>
      <c r="AI43" s="35">
        <f t="shared" si="39"/>
        <v>3175.0701642007803</v>
      </c>
      <c r="AJ43" s="35">
        <f t="shared" si="39"/>
        <v>3282.0060669930872</v>
      </c>
      <c r="AK43" s="35">
        <f t="shared" si="39"/>
        <v>5471.0832300279571</v>
      </c>
      <c r="AL43" s="35">
        <f t="shared" si="39"/>
        <v>2491.4809168687402</v>
      </c>
      <c r="AM43" s="35">
        <f t="shared" si="39"/>
        <v>3098.1161425288574</v>
      </c>
      <c r="AN43" s="35">
        <f t="shared" si="39"/>
        <v>1626.8229601867274</v>
      </c>
      <c r="AO43" s="35">
        <f t="shared" si="39"/>
        <v>2869.9084848324155</v>
      </c>
      <c r="AP43" s="35">
        <f t="shared" si="39"/>
        <v>1083.9930850132093</v>
      </c>
      <c r="AQ43" s="35">
        <f t="shared" si="39"/>
        <v>1804.3787651257746</v>
      </c>
      <c r="AR43" s="35">
        <f t="shared" si="39"/>
        <v>468.365061876411</v>
      </c>
      <c r="AS43" s="35">
        <f t="shared" si="39"/>
        <v>117.02931782925459</v>
      </c>
      <c r="AT43" s="36">
        <f t="shared" si="39"/>
        <v>445.5783881031748</v>
      </c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18">
        <f t="shared" si="32"/>
        <v>168.90079896455032</v>
      </c>
      <c r="CC43" s="10">
        <f t="shared" ref="CC43:CT43" si="40">((CC31+CD31)/2)+((CC31+CD32)/2)+((CC31+CC32)/2)+((CC31+CB32)/2)+((CC31+CB31)/2)+((CC31+CB30)/2)+((CC31+CC30)/2)+((CC31+CD30)/2)/8</f>
        <v>224.72759502027401</v>
      </c>
      <c r="CD43" s="10">
        <f t="shared" si="40"/>
        <v>244.38796029781884</v>
      </c>
      <c r="CE43" s="10">
        <f t="shared" si="40"/>
        <v>259.02010190285159</v>
      </c>
      <c r="CF43" s="10">
        <f t="shared" si="40"/>
        <v>276.16330209599573</v>
      </c>
      <c r="CG43" s="10">
        <f t="shared" si="40"/>
        <v>306.04769108518025</v>
      </c>
      <c r="CH43" s="10">
        <f t="shared" si="40"/>
        <v>351.69251172530755</v>
      </c>
      <c r="CI43" s="10">
        <f t="shared" si="40"/>
        <v>390.28602286080707</v>
      </c>
      <c r="CJ43" s="10">
        <f t="shared" si="40"/>
        <v>407.08184709359011</v>
      </c>
      <c r="CK43" s="10">
        <f t="shared" si="40"/>
        <v>435.87214907838302</v>
      </c>
      <c r="CL43" s="10">
        <f t="shared" si="40"/>
        <v>495.1783876757886</v>
      </c>
      <c r="CM43" s="10">
        <f t="shared" si="40"/>
        <v>558.3297698131945</v>
      </c>
      <c r="CN43" s="10">
        <f t="shared" si="40"/>
        <v>573.53131958821871</v>
      </c>
      <c r="CO43" s="10">
        <f t="shared" si="40"/>
        <v>542.66222571344156</v>
      </c>
      <c r="CP43" s="10">
        <f t="shared" si="40"/>
        <v>494.96174557499774</v>
      </c>
      <c r="CQ43" s="10">
        <f t="shared" si="40"/>
        <v>436.55232867124903</v>
      </c>
      <c r="CR43" s="10">
        <f t="shared" si="40"/>
        <v>373.56678864749284</v>
      </c>
      <c r="CS43" s="10">
        <f t="shared" si="40"/>
        <v>316.74910990879499</v>
      </c>
      <c r="CT43" s="10">
        <f t="shared" si="40"/>
        <v>281.60551299099183</v>
      </c>
      <c r="CU43" s="19">
        <f t="shared" si="34"/>
        <v>245.50012143535912</v>
      </c>
      <c r="CZ43" s="1">
        <v>0.82068272804058229</v>
      </c>
      <c r="DC43" s="1">
        <v>0.87906646347122375</v>
      </c>
      <c r="DD43" s="1">
        <v>0.9699025938513629</v>
      </c>
      <c r="DE43" s="1">
        <v>0.97957798866281653</v>
      </c>
      <c r="DF43" s="1">
        <v>0.98797050688252386</v>
      </c>
    </row>
    <row r="44" spans="1:110" x14ac:dyDescent="0.25">
      <c r="W44" s="2"/>
      <c r="X44" s="2"/>
      <c r="Y44" s="2"/>
      <c r="Z44" s="2"/>
      <c r="AA44" s="34">
        <f t="shared" ref="AA44:AT44" si="41">(AA10*AA32)</f>
        <v>653.78657362327453</v>
      </c>
      <c r="AB44" s="35">
        <f t="shared" si="41"/>
        <v>2094.5379522090739</v>
      </c>
      <c r="AC44" s="35">
        <f t="shared" si="41"/>
        <v>2001.7056285128954</v>
      </c>
      <c r="AD44" s="35">
        <f t="shared" si="41"/>
        <v>2598.0427260740753</v>
      </c>
      <c r="AE44" s="35">
        <f t="shared" si="41"/>
        <v>2458.6200458582134</v>
      </c>
      <c r="AF44" s="35">
        <f t="shared" si="41"/>
        <v>1419.3791586734237</v>
      </c>
      <c r="AG44" s="35">
        <f t="shared" si="41"/>
        <v>2350.8381155351972</v>
      </c>
      <c r="AH44" s="35">
        <f t="shared" si="41"/>
        <v>2395.2262973136494</v>
      </c>
      <c r="AI44" s="35">
        <f t="shared" si="41"/>
        <v>4458.6670849450538</v>
      </c>
      <c r="AJ44" s="35">
        <f t="shared" si="41"/>
        <v>4519.8320790304797</v>
      </c>
      <c r="AK44" s="35">
        <f t="shared" si="41"/>
        <v>5714.3681082558314</v>
      </c>
      <c r="AL44" s="35">
        <f t="shared" si="41"/>
        <v>3992.3367400097663</v>
      </c>
      <c r="AM44" s="35">
        <f t="shared" si="41"/>
        <v>4606.8609370017748</v>
      </c>
      <c r="AN44" s="35">
        <f t="shared" si="41"/>
        <v>4341.5782926833417</v>
      </c>
      <c r="AO44" s="35">
        <f t="shared" si="41"/>
        <v>3322.373209743409</v>
      </c>
      <c r="AP44" s="35">
        <f t="shared" si="41"/>
        <v>1749.8967009598136</v>
      </c>
      <c r="AQ44" s="35">
        <f t="shared" si="41"/>
        <v>975.92903320019752</v>
      </c>
      <c r="AR44" s="35">
        <f t="shared" si="41"/>
        <v>776.34335604436478</v>
      </c>
      <c r="AS44" s="35">
        <f t="shared" si="41"/>
        <v>918.99147627014963</v>
      </c>
      <c r="AT44" s="36">
        <f t="shared" si="41"/>
        <v>906.21457670028974</v>
      </c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18">
        <f t="shared" si="32"/>
        <v>155.46887397073729</v>
      </c>
      <c r="CC44" s="10">
        <f t="shared" ref="CC44:CT44" si="42">((CC32+CD32)/2)+((CC32+CD33)/2)+((CC32+CC33)/2)+((CC32+CB33)/2)+((CC32+CB32)/2)+((CC32+CB31)/2)+((CC32+CC31)/2)+((CC32+CD31)/2)/8</f>
        <v>213.97158963332907</v>
      </c>
      <c r="CD44" s="10">
        <f t="shared" si="42"/>
        <v>244.81784576084229</v>
      </c>
      <c r="CE44" s="10">
        <f t="shared" si="42"/>
        <v>279.6997581568761</v>
      </c>
      <c r="CF44" s="10">
        <f t="shared" si="42"/>
        <v>313.2452536273999</v>
      </c>
      <c r="CG44" s="10">
        <f t="shared" si="42"/>
        <v>346.43193710022888</v>
      </c>
      <c r="CH44" s="10">
        <f t="shared" si="42"/>
        <v>386.17951380089119</v>
      </c>
      <c r="CI44" s="10">
        <f t="shared" si="42"/>
        <v>404.60319767200315</v>
      </c>
      <c r="CJ44" s="10">
        <f t="shared" si="42"/>
        <v>408.03590859676262</v>
      </c>
      <c r="CK44" s="10">
        <f t="shared" si="42"/>
        <v>431.52126449977447</v>
      </c>
      <c r="CL44" s="10">
        <f t="shared" si="42"/>
        <v>488.77795575154721</v>
      </c>
      <c r="CM44" s="10">
        <f t="shared" si="42"/>
        <v>553.81541860035531</v>
      </c>
      <c r="CN44" s="10">
        <f t="shared" si="42"/>
        <v>552.40191368687056</v>
      </c>
      <c r="CO44" s="10">
        <f t="shared" si="42"/>
        <v>513.81279027108485</v>
      </c>
      <c r="CP44" s="10">
        <f t="shared" si="42"/>
        <v>453.74678319376716</v>
      </c>
      <c r="CQ44" s="10">
        <f t="shared" si="42"/>
        <v>398.52985095512963</v>
      </c>
      <c r="CR44" s="10">
        <f t="shared" si="42"/>
        <v>346.90317687305213</v>
      </c>
      <c r="CS44" s="10">
        <f t="shared" si="42"/>
        <v>309.56428676057732</v>
      </c>
      <c r="CT44" s="10">
        <f t="shared" si="42"/>
        <v>285.73004759887613</v>
      </c>
      <c r="CU44" s="19">
        <f t="shared" si="34"/>
        <v>251.06695019999034</v>
      </c>
      <c r="CZ44" s="1">
        <v>0.82070182960145144</v>
      </c>
      <c r="DC44" s="1">
        <v>0.88045226197100646</v>
      </c>
      <c r="DD44" s="1">
        <v>0.97050885734793912</v>
      </c>
      <c r="DE44" s="1">
        <v>0.97905906527538777</v>
      </c>
      <c r="DF44" s="1">
        <v>0.98753399844496881</v>
      </c>
    </row>
    <row r="45" spans="1:110" x14ac:dyDescent="0.25">
      <c r="W45" s="2"/>
      <c r="X45" s="2"/>
      <c r="Y45" s="2"/>
      <c r="Z45" s="2"/>
      <c r="AA45" s="34">
        <f t="shared" ref="AA45:AT45" si="43">(AA11*AA33)</f>
        <v>1361.7698591334624</v>
      </c>
      <c r="AB45" s="35">
        <f t="shared" si="43"/>
        <v>1072.9401578038121</v>
      </c>
      <c r="AC45" s="35">
        <f t="shared" si="43"/>
        <v>733.08646722517722</v>
      </c>
      <c r="AD45" s="35">
        <f t="shared" si="43"/>
        <v>714.68817840143436</v>
      </c>
      <c r="AE45" s="35">
        <f t="shared" si="43"/>
        <v>1095.8872866909367</v>
      </c>
      <c r="AF45" s="35">
        <f t="shared" si="43"/>
        <v>1540.0513535197347</v>
      </c>
      <c r="AG45" s="35">
        <f t="shared" si="43"/>
        <v>1892.3691663323059</v>
      </c>
      <c r="AH45" s="35">
        <f t="shared" si="43"/>
        <v>7670.4578546625489</v>
      </c>
      <c r="AI45" s="35">
        <f t="shared" si="43"/>
        <v>4757.0801266491862</v>
      </c>
      <c r="AJ45" s="35">
        <f t="shared" si="43"/>
        <v>4261.2902136695293</v>
      </c>
      <c r="AK45" s="35">
        <f t="shared" si="43"/>
        <v>3689.019631529643</v>
      </c>
      <c r="AL45" s="35">
        <f t="shared" si="43"/>
        <v>3799.9355489782311</v>
      </c>
      <c r="AM45" s="35">
        <f t="shared" si="43"/>
        <v>6347.156336806318</v>
      </c>
      <c r="AN45" s="35">
        <f t="shared" si="43"/>
        <v>4500.1945560763224</v>
      </c>
      <c r="AO45" s="35">
        <f t="shared" si="43"/>
        <v>3683.0963514918735</v>
      </c>
      <c r="AP45" s="35">
        <f t="shared" si="43"/>
        <v>3959.1051204359396</v>
      </c>
      <c r="AQ45" s="35">
        <f t="shared" si="43"/>
        <v>1936.584385450737</v>
      </c>
      <c r="AR45" s="35">
        <f t="shared" si="43"/>
        <v>447.77113643697248</v>
      </c>
      <c r="AS45" s="35">
        <f t="shared" si="43"/>
        <v>739.79949807019875</v>
      </c>
      <c r="AT45" s="36">
        <f t="shared" si="43"/>
        <v>744.3277956623233</v>
      </c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18">
        <f t="shared" si="32"/>
        <v>192.96477823246178</v>
      </c>
      <c r="CC45" s="10">
        <f t="shared" ref="CC45:CT45" si="44">((CC33+CD33)/2)+((CC33+CD34)/2)+((CC33+CC34)/2)+((CC33+CB34)/2)+((CC33+CB33)/2)+((CC33+CB32)/2)+((CC33+CC32)/2)+((CC33+CD32)/2)/8</f>
        <v>256.34163800373386</v>
      </c>
      <c r="CD45" s="10">
        <f t="shared" si="44"/>
        <v>289.55106697924856</v>
      </c>
      <c r="CE45" s="10">
        <f t="shared" si="44"/>
        <v>333.75533520997141</v>
      </c>
      <c r="CF45" s="10">
        <f t="shared" si="44"/>
        <v>367.838788064109</v>
      </c>
      <c r="CG45" s="10">
        <f t="shared" si="44"/>
        <v>382.70069113098805</v>
      </c>
      <c r="CH45" s="10">
        <f t="shared" si="44"/>
        <v>386.76438224100866</v>
      </c>
      <c r="CI45" s="10">
        <f t="shared" si="44"/>
        <v>386.34778569948753</v>
      </c>
      <c r="CJ45" s="10">
        <f t="shared" si="44"/>
        <v>378.77779466717595</v>
      </c>
      <c r="CK45" s="10">
        <f t="shared" si="44"/>
        <v>404.28808736663848</v>
      </c>
      <c r="CL45" s="10">
        <f t="shared" si="44"/>
        <v>444.3581142853684</v>
      </c>
      <c r="CM45" s="10">
        <f t="shared" si="44"/>
        <v>486.01930375723401</v>
      </c>
      <c r="CN45" s="10">
        <f t="shared" si="44"/>
        <v>465.73345398665595</v>
      </c>
      <c r="CO45" s="10">
        <f t="shared" si="44"/>
        <v>432.28500961256833</v>
      </c>
      <c r="CP45" s="10">
        <f t="shared" si="44"/>
        <v>394.87789427070669</v>
      </c>
      <c r="CQ45" s="10">
        <f t="shared" si="44"/>
        <v>360.79473680181474</v>
      </c>
      <c r="CR45" s="10">
        <f t="shared" si="44"/>
        <v>335.08330284406298</v>
      </c>
      <c r="CS45" s="10">
        <f t="shared" si="44"/>
        <v>315.92997466705151</v>
      </c>
      <c r="CT45" s="10">
        <f t="shared" si="44"/>
        <v>307.35749859117618</v>
      </c>
      <c r="CU45" s="19">
        <f t="shared" si="34"/>
        <v>263.88911011839406</v>
      </c>
      <c r="CZ45" s="1">
        <v>0.82070999432712932</v>
      </c>
      <c r="DC45" s="1">
        <v>0.88183629445996858</v>
      </c>
      <c r="DD45" s="1">
        <v>0.97110616857192245</v>
      </c>
      <c r="DE45" s="1">
        <v>0.97852371588148968</v>
      </c>
      <c r="DF45" s="1">
        <v>0.98708144348138971</v>
      </c>
    </row>
    <row r="46" spans="1:110" x14ac:dyDescent="0.25">
      <c r="W46" s="2"/>
      <c r="X46" s="2"/>
      <c r="Y46" s="2"/>
      <c r="Z46" s="2"/>
      <c r="AA46" s="34">
        <f t="shared" ref="AA46:AT46" si="45">(AA12*AA34)</f>
        <v>301.91763445813342</v>
      </c>
      <c r="AB46" s="35">
        <f t="shared" si="45"/>
        <v>501.56811566868299</v>
      </c>
      <c r="AC46" s="35">
        <f t="shared" si="45"/>
        <v>598.60146762473994</v>
      </c>
      <c r="AD46" s="35">
        <f t="shared" si="45"/>
        <v>1297.0998475929657</v>
      </c>
      <c r="AE46" s="35">
        <f t="shared" si="45"/>
        <v>1953.3718549176954</v>
      </c>
      <c r="AF46" s="35">
        <f t="shared" si="45"/>
        <v>3726.4076797339362</v>
      </c>
      <c r="AG46" s="35">
        <f t="shared" si="45"/>
        <v>4987.7695842689054</v>
      </c>
      <c r="AH46" s="35">
        <f t="shared" si="45"/>
        <v>5778.9063486021141</v>
      </c>
      <c r="AI46" s="35">
        <f t="shared" si="45"/>
        <v>4160.527383253374</v>
      </c>
      <c r="AJ46" s="35">
        <f t="shared" si="45"/>
        <v>2361.8651315067127</v>
      </c>
      <c r="AK46" s="35">
        <f t="shared" si="45"/>
        <v>7144.2976356050058</v>
      </c>
      <c r="AL46" s="35">
        <f t="shared" si="45"/>
        <v>3142.4660412608155</v>
      </c>
      <c r="AM46" s="35">
        <f t="shared" si="45"/>
        <v>2529.3240563806062</v>
      </c>
      <c r="AN46" s="35">
        <f t="shared" si="45"/>
        <v>3970.1458709519256</v>
      </c>
      <c r="AO46" s="35">
        <f t="shared" si="45"/>
        <v>3792.7381785683469</v>
      </c>
      <c r="AP46" s="35">
        <f t="shared" si="45"/>
        <v>2129.5102863219668</v>
      </c>
      <c r="AQ46" s="35">
        <f t="shared" si="45"/>
        <v>746.38453386435128</v>
      </c>
      <c r="AR46" s="35">
        <f t="shared" si="45"/>
        <v>1784.1160485781686</v>
      </c>
      <c r="AS46" s="35">
        <f t="shared" si="45"/>
        <v>254.66399328947873</v>
      </c>
      <c r="AT46" s="36">
        <f t="shared" si="45"/>
        <v>210.36035661786931</v>
      </c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18">
        <f t="shared" si="32"/>
        <v>241.75621417435818</v>
      </c>
      <c r="CC46" s="10">
        <f t="shared" ref="CC46:CT46" si="46">((CC34+CD34)/2)+((CC34+CD35)/2)+((CC34+CC35)/2)+((CC34+CB35)/2)+((CC34+CB34)/2)+((CC34+CB33)/2)+((CC34+CC33)/2)+((CC34+CD33)/2)/8</f>
        <v>297.75289492976003</v>
      </c>
      <c r="CD46" s="10">
        <f t="shared" si="46"/>
        <v>305.646131411054</v>
      </c>
      <c r="CE46" s="10">
        <f t="shared" si="46"/>
        <v>339.55977698376569</v>
      </c>
      <c r="CF46" s="10">
        <f t="shared" si="46"/>
        <v>369.82105811531153</v>
      </c>
      <c r="CG46" s="10">
        <f t="shared" si="46"/>
        <v>381.49351528742227</v>
      </c>
      <c r="CH46" s="10">
        <f t="shared" si="46"/>
        <v>370.05647171038345</v>
      </c>
      <c r="CI46" s="10">
        <f t="shared" si="46"/>
        <v>364.6038539497859</v>
      </c>
      <c r="CJ46" s="10">
        <f t="shared" si="46"/>
        <v>364.65779997213588</v>
      </c>
      <c r="CK46" s="10">
        <f t="shared" si="46"/>
        <v>380.40001475832088</v>
      </c>
      <c r="CL46" s="10">
        <f t="shared" si="46"/>
        <v>396.28669115200836</v>
      </c>
      <c r="CM46" s="10">
        <f t="shared" si="46"/>
        <v>402.65868842157221</v>
      </c>
      <c r="CN46" s="10">
        <f t="shared" si="46"/>
        <v>375.00776378573971</v>
      </c>
      <c r="CO46" s="10">
        <f t="shared" si="46"/>
        <v>353.91745430067681</v>
      </c>
      <c r="CP46" s="10">
        <f t="shared" si="46"/>
        <v>334.10021355196085</v>
      </c>
      <c r="CQ46" s="10">
        <f t="shared" si="46"/>
        <v>322.35282406087242</v>
      </c>
      <c r="CR46" s="10">
        <f t="shared" si="46"/>
        <v>309.38363422688639</v>
      </c>
      <c r="CS46" s="10">
        <f t="shared" si="46"/>
        <v>302.85163280888389</v>
      </c>
      <c r="CT46" s="10">
        <f t="shared" si="46"/>
        <v>300.67316733634738</v>
      </c>
      <c r="CU46" s="19">
        <f t="shared" si="34"/>
        <v>259.35419388811135</v>
      </c>
      <c r="CZ46" s="1">
        <v>0.82070700658186668</v>
      </c>
      <c r="DC46" s="1">
        <v>0.88321838146525933</v>
      </c>
      <c r="DD46" s="1">
        <v>0.97169428922726131</v>
      </c>
      <c r="DE46" s="1">
        <v>0.97797167390701845</v>
      </c>
      <c r="DF46" s="1">
        <v>0.98661257420847315</v>
      </c>
    </row>
    <row r="47" spans="1:110" x14ac:dyDescent="0.25">
      <c r="AA47" s="34">
        <f t="shared" ref="AA47:AT47" si="47">(AA13*AA35)</f>
        <v>322.14780941185165</v>
      </c>
      <c r="AB47" s="35">
        <f t="shared" si="47"/>
        <v>764.94379494178145</v>
      </c>
      <c r="AC47" s="35">
        <f t="shared" si="47"/>
        <v>1641.01880655115</v>
      </c>
      <c r="AD47" s="35">
        <f t="shared" si="47"/>
        <v>3260.7556432206002</v>
      </c>
      <c r="AE47" s="35">
        <f t="shared" si="47"/>
        <v>5578.3427334382413</v>
      </c>
      <c r="AF47" s="35">
        <f t="shared" si="47"/>
        <v>6086.0497430596024</v>
      </c>
      <c r="AG47" s="35">
        <f t="shared" si="47"/>
        <v>5673.7567266905507</v>
      </c>
      <c r="AH47" s="35">
        <f t="shared" si="47"/>
        <v>4760.748640060674</v>
      </c>
      <c r="AI47" s="35">
        <f t="shared" si="47"/>
        <v>2369.8594950053148</v>
      </c>
      <c r="AJ47" s="35">
        <f t="shared" si="47"/>
        <v>1827.9394388737501</v>
      </c>
      <c r="AK47" s="35">
        <f t="shared" si="47"/>
        <v>2938.2178359018108</v>
      </c>
      <c r="AL47" s="35">
        <f t="shared" si="47"/>
        <v>2082.0411051566966</v>
      </c>
      <c r="AM47" s="35">
        <f t="shared" si="47"/>
        <v>6809.1177115479977</v>
      </c>
      <c r="AN47" s="35">
        <f t="shared" si="47"/>
        <v>2503.7329162397382</v>
      </c>
      <c r="AO47" s="35">
        <f t="shared" si="47"/>
        <v>3325.4693391074429</v>
      </c>
      <c r="AP47" s="35">
        <f t="shared" si="47"/>
        <v>1423.6949352362685</v>
      </c>
      <c r="AQ47" s="35">
        <f t="shared" si="47"/>
        <v>445.10826955755169</v>
      </c>
      <c r="AR47" s="35">
        <f t="shared" si="47"/>
        <v>676.15626547673355</v>
      </c>
      <c r="AS47" s="35">
        <f t="shared" si="47"/>
        <v>1868.3612851335804</v>
      </c>
      <c r="AT47" s="36">
        <f t="shared" si="47"/>
        <v>1054.6806015693346</v>
      </c>
      <c r="CB47" s="18">
        <f t="shared" si="32"/>
        <v>235.61095832753759</v>
      </c>
      <c r="CC47" s="10">
        <f t="shared" ref="CC47:CT47" si="48">((CC35+CD35)/2)+((CC35+CD36)/2)+((CC35+CC36)/2)+((CC35+CB36)/2)+((CC35+CB35)/2)+((CC35+CB34)/2)+((CC35+CC34)/2)+((CC35+CD34)/2)/8</f>
        <v>288.32737957666029</v>
      </c>
      <c r="CD47" s="10">
        <f t="shared" si="48"/>
        <v>285.5600600307875</v>
      </c>
      <c r="CE47" s="10">
        <f t="shared" si="48"/>
        <v>301.66743867004936</v>
      </c>
      <c r="CF47" s="10">
        <f t="shared" si="48"/>
        <v>332.16240703778811</v>
      </c>
      <c r="CG47" s="10">
        <f t="shared" si="48"/>
        <v>359.33535358712305</v>
      </c>
      <c r="CH47" s="10">
        <f t="shared" si="48"/>
        <v>374.97341590300238</v>
      </c>
      <c r="CI47" s="10">
        <f t="shared" si="48"/>
        <v>379.67605516232379</v>
      </c>
      <c r="CJ47" s="10">
        <f t="shared" si="48"/>
        <v>382.12011607817323</v>
      </c>
      <c r="CK47" s="10">
        <f t="shared" si="48"/>
        <v>375.82185206874573</v>
      </c>
      <c r="CL47" s="10">
        <f t="shared" si="48"/>
        <v>367.74219565548145</v>
      </c>
      <c r="CM47" s="10">
        <f t="shared" si="48"/>
        <v>336.05709757672059</v>
      </c>
      <c r="CN47" s="10">
        <f t="shared" si="48"/>
        <v>306.206237513791</v>
      </c>
      <c r="CO47" s="10">
        <f t="shared" si="48"/>
        <v>289.93285009586572</v>
      </c>
      <c r="CP47" s="10">
        <f t="shared" si="48"/>
        <v>291.07160604091246</v>
      </c>
      <c r="CQ47" s="10">
        <f t="shared" si="48"/>
        <v>290.49345750367803</v>
      </c>
      <c r="CR47" s="10">
        <f t="shared" si="48"/>
        <v>280.60868828213108</v>
      </c>
      <c r="CS47" s="10">
        <f t="shared" si="48"/>
        <v>266.40626172761387</v>
      </c>
      <c r="CT47" s="10">
        <f t="shared" si="48"/>
        <v>261.22391167562722</v>
      </c>
      <c r="CU47" s="19">
        <f t="shared" si="34"/>
        <v>228.03631936587888</v>
      </c>
      <c r="CZ47" s="1">
        <v>0.82069264741058112</v>
      </c>
      <c r="DC47" s="1">
        <v>0.8845983392062976</v>
      </c>
      <c r="DD47" s="1">
        <v>0.97227297668978474</v>
      </c>
      <c r="DE47" s="1">
        <v>0.97740266928634267</v>
      </c>
      <c r="DF47" s="1">
        <v>0.98612711923993446</v>
      </c>
    </row>
    <row r="48" spans="1:110" ht="21" x14ac:dyDescent="0.35">
      <c r="C48" s="81" t="s">
        <v>20</v>
      </c>
      <c r="D48" s="81"/>
      <c r="E48" s="81"/>
      <c r="AA48" s="34">
        <f t="shared" ref="AA48:AT48" si="49">(AA14*AA36)</f>
        <v>1821.7712331060534</v>
      </c>
      <c r="AB48" s="35">
        <f t="shared" si="49"/>
        <v>2221.3062510172545</v>
      </c>
      <c r="AC48" s="35">
        <f t="shared" si="49"/>
        <v>4774.9022681171327</v>
      </c>
      <c r="AD48" s="35">
        <f t="shared" si="49"/>
        <v>6298.2038162722774</v>
      </c>
      <c r="AE48" s="35">
        <f t="shared" si="49"/>
        <v>7863.3602588018903</v>
      </c>
      <c r="AF48" s="35">
        <f t="shared" si="49"/>
        <v>5902.7298443082991</v>
      </c>
      <c r="AG48" s="35">
        <f t="shared" si="49"/>
        <v>4143.3975118178832</v>
      </c>
      <c r="AH48" s="35">
        <f t="shared" si="49"/>
        <v>3386.6543083100532</v>
      </c>
      <c r="AI48" s="35">
        <f t="shared" si="49"/>
        <v>4664.3367917086207</v>
      </c>
      <c r="AJ48" s="35">
        <f t="shared" si="49"/>
        <v>2784.7808832890742</v>
      </c>
      <c r="AK48" s="35">
        <f t="shared" si="49"/>
        <v>1672.3479210629018</v>
      </c>
      <c r="AL48" s="35">
        <f t="shared" si="49"/>
        <v>1754.3326543729936</v>
      </c>
      <c r="AM48" s="35">
        <f t="shared" si="49"/>
        <v>761.1264598514183</v>
      </c>
      <c r="AN48" s="35">
        <f t="shared" si="49"/>
        <v>671.18315493489285</v>
      </c>
      <c r="AO48" s="35">
        <f t="shared" si="49"/>
        <v>2473.8549295683733</v>
      </c>
      <c r="AP48" s="35">
        <f t="shared" si="49"/>
        <v>2585.9710518319544</v>
      </c>
      <c r="AQ48" s="35">
        <f t="shared" si="49"/>
        <v>981.11731323559809</v>
      </c>
      <c r="AR48" s="35">
        <f t="shared" si="49"/>
        <v>2542.3014679173671</v>
      </c>
      <c r="AS48" s="35">
        <f t="shared" si="49"/>
        <v>577.67397919648965</v>
      </c>
      <c r="AT48" s="36">
        <f t="shared" si="49"/>
        <v>235.08520455517626</v>
      </c>
      <c r="AY48" s="81" t="s">
        <v>21</v>
      </c>
      <c r="CB48" s="20">
        <f t="shared" si="32"/>
        <v>178.85072133774628</v>
      </c>
      <c r="CC48" s="21">
        <f t="shared" ref="CC48:CT48" si="50">((CC36+CD36)/2)+((CC36+CD37)/2)+((CC36+CC37)/2)+((CC36+CB37)/2)+((CC36+CB36)/2)+((CC36+CB35)/2)+((CC36+CC35)/2)+((CC36+CD35)/2)/8</f>
        <v>210.71546423610567</v>
      </c>
      <c r="CD48" s="21">
        <f t="shared" si="50"/>
        <v>206.46956525967076</v>
      </c>
      <c r="CE48" s="21">
        <f t="shared" si="50"/>
        <v>209.3052401191907</v>
      </c>
      <c r="CF48" s="21">
        <f t="shared" si="50"/>
        <v>231.56593615887957</v>
      </c>
      <c r="CG48" s="21">
        <f t="shared" si="50"/>
        <v>264.38977866905992</v>
      </c>
      <c r="CH48" s="21">
        <f t="shared" si="50"/>
        <v>296.03560491061796</v>
      </c>
      <c r="CI48" s="21">
        <f t="shared" si="50"/>
        <v>308.24457731528935</v>
      </c>
      <c r="CJ48" s="21">
        <f t="shared" si="50"/>
        <v>310.73797105397517</v>
      </c>
      <c r="CK48" s="21">
        <f t="shared" si="50"/>
        <v>302.76156705548652</v>
      </c>
      <c r="CL48" s="21">
        <f t="shared" si="50"/>
        <v>294.93797939761009</v>
      </c>
      <c r="CM48" s="21">
        <f t="shared" si="50"/>
        <v>272.22504176116644</v>
      </c>
      <c r="CN48" s="21">
        <f t="shared" si="50"/>
        <v>249.3663574030839</v>
      </c>
      <c r="CO48" s="21">
        <f t="shared" si="50"/>
        <v>236.58182699379233</v>
      </c>
      <c r="CP48" s="21">
        <f t="shared" si="50"/>
        <v>224.80155416298487</v>
      </c>
      <c r="CQ48" s="21">
        <f t="shared" si="50"/>
        <v>216.88662117165728</v>
      </c>
      <c r="CR48" s="21">
        <f t="shared" si="50"/>
        <v>201.01882651175444</v>
      </c>
      <c r="CS48" s="21">
        <f t="shared" si="50"/>
        <v>189.70430618976616</v>
      </c>
      <c r="CT48" s="21">
        <f t="shared" si="50"/>
        <v>184.82735844983034</v>
      </c>
      <c r="CU48" s="22">
        <f t="shared" si="34"/>
        <v>172.3688637512258</v>
      </c>
      <c r="CZ48" s="1">
        <v>0.82066669450674024</v>
      </c>
      <c r="DC48" s="1">
        <v>0.88597597951761664</v>
      </c>
      <c r="DD48" s="1">
        <v>0.97284198395016785</v>
      </c>
      <c r="DE48" s="1">
        <v>0.97681642844255889</v>
      </c>
      <c r="DF48" s="1">
        <v>0.9856248035635724</v>
      </c>
    </row>
    <row r="49" spans="1:110" ht="21" x14ac:dyDescent="0.35">
      <c r="C49" s="81" t="s">
        <v>8</v>
      </c>
      <c r="D49" s="81"/>
      <c r="E49" s="81"/>
      <c r="AA49" s="34">
        <f t="shared" ref="AA49:AT49" si="51">(AA15*AA37)</f>
        <v>6679.9378117549804</v>
      </c>
      <c r="AB49" s="35">
        <f t="shared" si="51"/>
        <v>5159.3353649105456</v>
      </c>
      <c r="AC49" s="35">
        <f t="shared" si="51"/>
        <v>2136.6175665872765</v>
      </c>
      <c r="AD49" s="35">
        <f t="shared" si="51"/>
        <v>1926.206879250997</v>
      </c>
      <c r="AE49" s="35">
        <f t="shared" si="51"/>
        <v>3932.4850440462628</v>
      </c>
      <c r="AF49" s="35">
        <f t="shared" si="51"/>
        <v>3213.3335513639026</v>
      </c>
      <c r="AG49" s="35">
        <f t="shared" si="51"/>
        <v>4580.5069165124341</v>
      </c>
      <c r="AH49" s="35">
        <f t="shared" si="51"/>
        <v>4121.4281764284506</v>
      </c>
      <c r="AI49" s="35">
        <f t="shared" si="51"/>
        <v>3120.5138483370565</v>
      </c>
      <c r="AJ49" s="35">
        <f t="shared" si="51"/>
        <v>5844.4583914553587</v>
      </c>
      <c r="AK49" s="35">
        <f t="shared" si="51"/>
        <v>2677.1840313150065</v>
      </c>
      <c r="AL49" s="35">
        <f t="shared" si="51"/>
        <v>1615.5639187024835</v>
      </c>
      <c r="AM49" s="35">
        <f t="shared" si="51"/>
        <v>602.29407959547211</v>
      </c>
      <c r="AN49" s="35">
        <f t="shared" si="51"/>
        <v>725.42968449493696</v>
      </c>
      <c r="AO49" s="35">
        <f t="shared" si="51"/>
        <v>1380.4493929118273</v>
      </c>
      <c r="AP49" s="35">
        <f t="shared" si="51"/>
        <v>352.25961775467727</v>
      </c>
      <c r="AQ49" s="35">
        <f t="shared" si="51"/>
        <v>581.91746751247774</v>
      </c>
      <c r="AR49" s="35">
        <f t="shared" si="51"/>
        <v>480.47935547980484</v>
      </c>
      <c r="AS49" s="35">
        <f t="shared" si="51"/>
        <v>238.82016776892377</v>
      </c>
      <c r="AT49" s="36">
        <f t="shared" si="51"/>
        <v>202.44842379389235</v>
      </c>
      <c r="AY49" s="81" t="s">
        <v>7</v>
      </c>
      <c r="CZ49" s="1">
        <v>0.82062892218073702</v>
      </c>
      <c r="DC49" s="1">
        <v>0.88735110977098675</v>
      </c>
      <c r="DD49" s="1">
        <v>0.97340105955696232</v>
      </c>
      <c r="DE49" s="1">
        <v>0.97621267426883529</v>
      </c>
      <c r="DF49" s="1">
        <v>0.98510534851931031</v>
      </c>
    </row>
    <row r="50" spans="1:110" x14ac:dyDescent="0.25">
      <c r="C50" s="31">
        <f t="shared" ref="C50:C59" si="52">(AA7^2)</f>
        <v>350.97148142348198</v>
      </c>
      <c r="D50" s="32">
        <f t="shared" ref="D50:D59" si="53">(AB7^2)</f>
        <v>1821.0606642987623</v>
      </c>
      <c r="E50" s="32">
        <f t="shared" ref="E50:E59" si="54">(AC7^2)</f>
        <v>3860.2573809270821</v>
      </c>
      <c r="F50" s="32">
        <f t="shared" ref="F50:F59" si="55">(AD7^2)</f>
        <v>4850.7070623475111</v>
      </c>
      <c r="G50" s="32">
        <f t="shared" ref="G50:G59" si="56">(AE7^2)</f>
        <v>3388.7277890352266</v>
      </c>
      <c r="H50" s="32">
        <f t="shared" ref="H50:H59" si="57">(AF7^2)</f>
        <v>2743.7453026643429</v>
      </c>
      <c r="I50" s="32">
        <f t="shared" ref="I50:I59" si="58">(AG7^2)</f>
        <v>5369.842762333049</v>
      </c>
      <c r="J50" s="32">
        <f t="shared" ref="J50:J59" si="59">(AH7^2)</f>
        <v>6818.1042502977916</v>
      </c>
      <c r="K50" s="32">
        <f t="shared" ref="K50:K59" si="60">(AI7^2)</f>
        <v>5991.7255529798895</v>
      </c>
      <c r="L50" s="32">
        <f t="shared" ref="L50:L59" si="61">(AJ7^2)</f>
        <v>3398.2290953794018</v>
      </c>
      <c r="M50" s="32">
        <f t="shared" ref="M50:M59" si="62">(AK7^2)</f>
        <v>1704.7414741880489</v>
      </c>
      <c r="N50" s="32">
        <f t="shared" ref="N50:N59" si="63">(AL7^2)</f>
        <v>2187.0611483271323</v>
      </c>
      <c r="O50" s="32">
        <f t="shared" ref="O50:O59" si="64">(AM7^2)</f>
        <v>5827.1617375572814</v>
      </c>
      <c r="P50" s="32">
        <f t="shared" ref="P50:P59" si="65">(AN7^2)</f>
        <v>2017.1507770954097</v>
      </c>
      <c r="Q50" s="32">
        <f t="shared" ref="Q50:Q59" si="66">(AO7^2)</f>
        <v>2400.0550251633554</v>
      </c>
      <c r="R50" s="32">
        <f t="shared" ref="R50:R59" si="67">(AP7^2)</f>
        <v>668.80570721625236</v>
      </c>
      <c r="S50" s="32">
        <f t="shared" ref="S50:S59" si="68">(AQ7^2)</f>
        <v>2808.101314010215</v>
      </c>
      <c r="T50" s="32">
        <f t="shared" ref="T50:T59" si="69">(AR7^2)</f>
        <v>702.16987696255887</v>
      </c>
      <c r="U50" s="32">
        <f t="shared" ref="U50:U59" si="70">(AS7^2)</f>
        <v>225.71645666857623</v>
      </c>
      <c r="V50" s="33">
        <f t="shared" ref="V50:V59" si="71">(AT7^2)</f>
        <v>57.012346955816348</v>
      </c>
      <c r="AA50" s="37">
        <f t="shared" ref="AA50:AT50" si="72">(AA16*AA38)</f>
        <v>378.487107066269</v>
      </c>
      <c r="AB50" s="38">
        <f t="shared" si="72"/>
        <v>1088.4992948116317</v>
      </c>
      <c r="AC50" s="38">
        <f t="shared" si="72"/>
        <v>972.96145439968495</v>
      </c>
      <c r="AD50" s="38">
        <f t="shared" si="72"/>
        <v>1361.5215866944056</v>
      </c>
      <c r="AE50" s="38">
        <f t="shared" si="72"/>
        <v>1618.6304506584886</v>
      </c>
      <c r="AF50" s="38">
        <f t="shared" si="72"/>
        <v>4805.2062996715531</v>
      </c>
      <c r="AG50" s="38">
        <f t="shared" si="72"/>
        <v>6740.6500409276223</v>
      </c>
      <c r="AH50" s="38">
        <f t="shared" si="72"/>
        <v>7544.3324508468786</v>
      </c>
      <c r="AI50" s="38">
        <f t="shared" si="72"/>
        <v>5289.2955127050573</v>
      </c>
      <c r="AJ50" s="38">
        <f t="shared" si="72"/>
        <v>5107.0751686545846</v>
      </c>
      <c r="AK50" s="38">
        <f t="shared" si="72"/>
        <v>3012.676100839481</v>
      </c>
      <c r="AL50" s="38">
        <f t="shared" si="72"/>
        <v>1232.9537435064094</v>
      </c>
      <c r="AM50" s="38">
        <f t="shared" si="72"/>
        <v>794.50933405548938</v>
      </c>
      <c r="AN50" s="38">
        <f t="shared" si="72"/>
        <v>965.75239431731268</v>
      </c>
      <c r="AO50" s="38">
        <f t="shared" si="72"/>
        <v>378.64635694902955</v>
      </c>
      <c r="AP50" s="38">
        <f t="shared" si="72"/>
        <v>802.49301729617832</v>
      </c>
      <c r="AQ50" s="38">
        <f t="shared" si="72"/>
        <v>1750.087162010605</v>
      </c>
      <c r="AR50" s="38">
        <f t="shared" si="72"/>
        <v>181.53648761792121</v>
      </c>
      <c r="AS50" s="38">
        <f t="shared" si="72"/>
        <v>189.56954046591841</v>
      </c>
      <c r="AT50" s="39">
        <f t="shared" si="72"/>
        <v>171.64087381206832</v>
      </c>
      <c r="AY50" s="31">
        <f>(AA29^2)</f>
        <v>2054.8126827555657</v>
      </c>
      <c r="AZ50" s="32">
        <f t="shared" ref="AZ50:BR50" si="73">(AB29^2)</f>
        <v>3681.7214521211467</v>
      </c>
      <c r="BA50" s="32">
        <f t="shared" si="73"/>
        <v>2848.7978319447698</v>
      </c>
      <c r="BB50" s="32">
        <f t="shared" si="73"/>
        <v>2538.3518100785163</v>
      </c>
      <c r="BC50" s="32">
        <f t="shared" si="73"/>
        <v>9890.8972725021795</v>
      </c>
      <c r="BD50" s="32">
        <f t="shared" si="73"/>
        <v>9910.7147945202832</v>
      </c>
      <c r="BE50" s="32">
        <f t="shared" si="73"/>
        <v>9928.8058885679966</v>
      </c>
      <c r="BF50" s="32">
        <f t="shared" si="73"/>
        <v>9966.0927690870285</v>
      </c>
      <c r="BG50" s="32">
        <f t="shared" si="73"/>
        <v>9955.6542798392893</v>
      </c>
      <c r="BH50" s="32">
        <f t="shared" si="73"/>
        <v>9798.7144587115836</v>
      </c>
      <c r="BI50" s="32">
        <f t="shared" si="73"/>
        <v>4115.2671106911348</v>
      </c>
      <c r="BJ50" s="32">
        <f t="shared" si="73"/>
        <v>2728.6892026477822</v>
      </c>
      <c r="BK50" s="32">
        <f t="shared" si="73"/>
        <v>4540.2105942227754</v>
      </c>
      <c r="BL50" s="32">
        <f t="shared" si="73"/>
        <v>497.27139099467843</v>
      </c>
      <c r="BM50" s="32">
        <f t="shared" si="73"/>
        <v>371.30449136395202</v>
      </c>
      <c r="BN50" s="32">
        <f t="shared" si="73"/>
        <v>41.359746673346734</v>
      </c>
      <c r="BO50" s="32">
        <f t="shared" si="73"/>
        <v>2400.7546655163542</v>
      </c>
      <c r="BP50" s="32">
        <f t="shared" si="73"/>
        <v>894.74205522273451</v>
      </c>
      <c r="BQ50" s="32">
        <f t="shared" si="73"/>
        <v>116.81731351107727</v>
      </c>
      <c r="BR50" s="33">
        <f t="shared" si="73"/>
        <v>6.7246083360253488</v>
      </c>
      <c r="CZ50" s="1">
        <v>0.82057910132884648</v>
      </c>
      <c r="DC50" s="1">
        <v>0.88872353279683858</v>
      </c>
      <c r="DD50" s="1">
        <v>0.97394994755975883</v>
      </c>
      <c r="DE50" s="1">
        <v>0.97559112611090526</v>
      </c>
      <c r="DF50" s="1">
        <v>0.98456847177837148</v>
      </c>
    </row>
    <row r="51" spans="1:110" x14ac:dyDescent="0.25">
      <c r="C51" s="34">
        <f t="shared" si="52"/>
        <v>173.81582227352803</v>
      </c>
      <c r="D51" s="35">
        <f t="shared" si="53"/>
        <v>254.48775477659427</v>
      </c>
      <c r="E51" s="35">
        <f t="shared" si="54"/>
        <v>1537.0324200575517</v>
      </c>
      <c r="F51" s="35">
        <f t="shared" si="55"/>
        <v>2507.7967916240787</v>
      </c>
      <c r="G51" s="35">
        <f t="shared" si="56"/>
        <v>1577.3981538276034</v>
      </c>
      <c r="H51" s="35">
        <f t="shared" si="57"/>
        <v>1337.9982770804168</v>
      </c>
      <c r="I51" s="35">
        <f t="shared" si="58"/>
        <v>2188.0622162248574</v>
      </c>
      <c r="J51" s="35">
        <f t="shared" si="59"/>
        <v>2897.0856230455902</v>
      </c>
      <c r="K51" s="35">
        <f t="shared" si="60"/>
        <v>2813.5802585151168</v>
      </c>
      <c r="L51" s="35">
        <f t="shared" si="61"/>
        <v>2519.0108804705446</v>
      </c>
      <c r="M51" s="35">
        <f t="shared" si="62"/>
        <v>2485.2915861653478</v>
      </c>
      <c r="N51" s="35">
        <f t="shared" si="63"/>
        <v>3875.4419936715258</v>
      </c>
      <c r="O51" s="35">
        <f t="shared" si="64"/>
        <v>7479.74427100705</v>
      </c>
      <c r="P51" s="35">
        <f t="shared" si="65"/>
        <v>3394.7306412418047</v>
      </c>
      <c r="Q51" s="35">
        <f t="shared" si="66"/>
        <v>730.06055862402332</v>
      </c>
      <c r="R51" s="35">
        <f t="shared" si="67"/>
        <v>789.73899726226205</v>
      </c>
      <c r="S51" s="35">
        <f t="shared" si="68"/>
        <v>372.57540673497601</v>
      </c>
      <c r="T51" s="35">
        <f t="shared" si="69"/>
        <v>736.57804751214258</v>
      </c>
      <c r="U51" s="35">
        <f t="shared" si="70"/>
        <v>1208.5717340794847</v>
      </c>
      <c r="V51" s="36">
        <f t="shared" si="71"/>
        <v>989.78132523262411</v>
      </c>
      <c r="AY51" s="34">
        <f t="shared" ref="AY51:AY59" si="74">(AA30^2)</f>
        <v>281.59080489630742</v>
      </c>
      <c r="AZ51" s="35">
        <f t="shared" ref="AZ51:AZ59" si="75">(AB30^2)</f>
        <v>729.30044819628552</v>
      </c>
      <c r="BA51" s="35">
        <f t="shared" ref="BA51:BA59" si="76">(AC30^2)</f>
        <v>9906.5891228932142</v>
      </c>
      <c r="BB51" s="35">
        <f t="shared" ref="BB51:BB59" si="77">(AD30^2)</f>
        <v>9909.6902187205633</v>
      </c>
      <c r="BC51" s="35">
        <f t="shared" ref="BC51:BC59" si="78">(AE30^2)</f>
        <v>9686.9672886155822</v>
      </c>
      <c r="BD51" s="35">
        <f t="shared" ref="BD51:BD59" si="79">(AF30^2)</f>
        <v>6382.765443137876</v>
      </c>
      <c r="BE51" s="35">
        <f t="shared" ref="BE51:BE59" si="80">(AG30^2)</f>
        <v>9381.6332803635105</v>
      </c>
      <c r="BF51" s="35">
        <f t="shared" ref="BF51:BF59" si="81">(AH30^2)</f>
        <v>9866.7887524397393</v>
      </c>
      <c r="BG51" s="35">
        <f t="shared" ref="BG51:BG59" si="82">(AI30^2)</f>
        <v>9952.8512558781022</v>
      </c>
      <c r="BH51" s="35">
        <f t="shared" ref="BH51:BH59" si="83">(AJ30^2)</f>
        <v>8750.3144458672905</v>
      </c>
      <c r="BI51" s="35">
        <f t="shared" ref="BI51:BI59" si="84">(AK30^2)</f>
        <v>5287.5147125024914</v>
      </c>
      <c r="BJ51" s="35">
        <f t="shared" ref="BJ51:BJ59" si="85">(AL30^2)</f>
        <v>1882.5339923321101</v>
      </c>
      <c r="BK51" s="35">
        <f t="shared" ref="BK51:BK59" si="86">(AM30^2)</f>
        <v>6422.1833062068508</v>
      </c>
      <c r="BL51" s="35">
        <f t="shared" ref="BL51:BL59" si="87">(AN30^2)</f>
        <v>1847.2421426181081</v>
      </c>
      <c r="BM51" s="35">
        <f t="shared" ref="BM51:BM59" si="88">(AO30^2)</f>
        <v>267.09287617441163</v>
      </c>
      <c r="BN51" s="35">
        <f t="shared" ref="BN51:BN59" si="89">(AP30^2)</f>
        <v>290.58631550542492</v>
      </c>
      <c r="BO51" s="35">
        <f t="shared" ref="BO51:BO59" si="90">(AQ30^2)</f>
        <v>72.730769323024361</v>
      </c>
      <c r="BP51" s="35">
        <f t="shared" ref="BP51:BP59" si="91">(AR30^2)</f>
        <v>473.75548656475058</v>
      </c>
      <c r="BQ51" s="35">
        <f t="shared" ref="BQ51:BQ59" si="92">(AS30^2)</f>
        <v>391.53896408046262</v>
      </c>
      <c r="BR51" s="36">
        <f t="shared" ref="BR51:BR59" si="93">(AT30^2)</f>
        <v>2122.7870748470391</v>
      </c>
      <c r="CB51" s="23">
        <f t="shared" ref="CB51:CB60" si="94">AVERAGE(Z6:AB8)</f>
        <v>22.636178867042531</v>
      </c>
      <c r="CC51" s="24">
        <f t="shared" ref="CC51:CC60" si="95">AVERAGE(AA6:AC8)</f>
        <v>31.98011501438916</v>
      </c>
      <c r="CD51" s="24">
        <f t="shared" ref="CD51:CD60" si="96">AVERAGE(AB6:AD8)</f>
        <v>46.614576528921162</v>
      </c>
      <c r="CE51" s="24">
        <f t="shared" ref="CE51:CE60" si="97">AVERAGE(AC6:AE8)</f>
        <v>53.16502530217749</v>
      </c>
      <c r="CF51" s="24">
        <f t="shared" ref="CF51:CF60" si="98">AVERAGE(AD6:AF8)</f>
        <v>51.102268036903276</v>
      </c>
      <c r="CG51" s="24">
        <f t="shared" ref="CG51:CG60" si="99">AVERAGE(AE6:AG8)</f>
        <v>51.157436943981317</v>
      </c>
      <c r="CH51" s="24">
        <f t="shared" ref="CH51:CH60" si="100">AVERAGE(AF6:AH8)</f>
        <v>57.568627324623158</v>
      </c>
      <c r="CI51" s="24">
        <f t="shared" ref="CI51:CI60" si="101">AVERAGE(AG6:AI8)</f>
        <v>64.48362707973709</v>
      </c>
      <c r="CJ51" s="24">
        <f t="shared" ref="CJ51:CJ60" si="102">AVERAGE(AH6:AJ8)</f>
        <v>62.554984091646702</v>
      </c>
      <c r="CK51" s="24">
        <f t="shared" ref="CK51:CK60" si="103">AVERAGE(AI6:AK8)</f>
        <v>55.012453971661841</v>
      </c>
      <c r="CL51" s="24">
        <f t="shared" ref="CL51:CL60" si="104">AVERAGE(AJ6:AL8)</f>
        <v>51.440727986284863</v>
      </c>
      <c r="CM51" s="24">
        <f t="shared" ref="CM51:CM60" si="105">AVERAGE(AK6:AM8)</f>
        <v>60.496941781167095</v>
      </c>
      <c r="CN51" s="24">
        <f t="shared" ref="CN51:CN60" si="106">AVERAGE(AL6:AN8)</f>
        <v>62.502909257631593</v>
      </c>
      <c r="CO51" s="24">
        <f t="shared" ref="CO51:CO60" si="107">AVERAGE(AM6:AO8)</f>
        <v>57.0013951980171</v>
      </c>
      <c r="CP51" s="24">
        <f t="shared" ref="CP51:CP60" si="108">AVERAGE(AN6:AP8)</f>
        <v>38.858430240999063</v>
      </c>
      <c r="CQ51" s="24">
        <f t="shared" ref="CQ51:CQ60" si="109">AVERAGE(AO6:AQ8)</f>
        <v>33.711216049491803</v>
      </c>
      <c r="CR51" s="24">
        <f t="shared" ref="CR51:CR60" si="110">AVERAGE(AP6:AR8)</f>
        <v>29.98262776827724</v>
      </c>
      <c r="CS51" s="24">
        <f t="shared" ref="CS51:CS60" si="111">AVERAGE(AQ6:AS8)</f>
        <v>29.286762410573555</v>
      </c>
      <c r="CT51" s="24">
        <f t="shared" ref="CT51:CT60" si="112">AVERAGE(AR6:AT8)</f>
        <v>23.739713866603235</v>
      </c>
      <c r="CU51" s="25">
        <f t="shared" ref="CU51:CU60" si="113">AVERAGE(AS6:AU8)</f>
        <v>29.839507184119608</v>
      </c>
      <c r="CZ51" s="1">
        <v>0.82051699940276623</v>
      </c>
      <c r="DC51" s="1">
        <v>0.89009304680499879</v>
      </c>
      <c r="DD51" s="1">
        <v>0.97448838745250488</v>
      </c>
      <c r="DE51" s="1">
        <v>0.9749514997507599</v>
      </c>
      <c r="DF51" s="1">
        <v>0.98401388732355632</v>
      </c>
    </row>
    <row r="52" spans="1:110" x14ac:dyDescent="0.25">
      <c r="C52" s="34">
        <f t="shared" si="52"/>
        <v>2113.9707437236812</v>
      </c>
      <c r="D52" s="35">
        <f t="shared" si="53"/>
        <v>3048.2493235178408</v>
      </c>
      <c r="E52" s="35">
        <f t="shared" si="54"/>
        <v>1848.6762451298328</v>
      </c>
      <c r="F52" s="35">
        <f t="shared" si="55"/>
        <v>2846.776389124992</v>
      </c>
      <c r="G52" s="35">
        <f t="shared" si="56"/>
        <v>1744.0040320893138</v>
      </c>
      <c r="H52" s="35">
        <f t="shared" si="57"/>
        <v>792.0220979372865</v>
      </c>
      <c r="I52" s="35">
        <f t="shared" si="58"/>
        <v>817.8795784356787</v>
      </c>
      <c r="J52" s="35">
        <f t="shared" si="59"/>
        <v>1077.2211795374326</v>
      </c>
      <c r="K52" s="35">
        <f t="shared" si="60"/>
        <v>1168.3354589901803</v>
      </c>
      <c r="L52" s="35">
        <f t="shared" si="61"/>
        <v>1312.9929890402684</v>
      </c>
      <c r="M52" s="35">
        <f t="shared" si="62"/>
        <v>5144.9483916533682</v>
      </c>
      <c r="N52" s="35">
        <f t="shared" si="63"/>
        <v>3251.2605996651268</v>
      </c>
      <c r="O52" s="35">
        <f t="shared" si="64"/>
        <v>4420.4616533494782</v>
      </c>
      <c r="P52" s="35">
        <f t="shared" si="65"/>
        <v>2007.033233871804</v>
      </c>
      <c r="Q52" s="35">
        <f t="shared" si="66"/>
        <v>4483.3130825365997</v>
      </c>
      <c r="R52" s="35">
        <f t="shared" si="67"/>
        <v>3043.6773833637667</v>
      </c>
      <c r="S52" s="35">
        <f t="shared" si="68"/>
        <v>2911.8217417706228</v>
      </c>
      <c r="T52" s="35">
        <f t="shared" si="69"/>
        <v>1232.7409200643294</v>
      </c>
      <c r="U52" s="35">
        <f t="shared" si="70"/>
        <v>485.80981391838651</v>
      </c>
      <c r="V52" s="36">
        <f t="shared" si="71"/>
        <v>1056.0067991755227</v>
      </c>
      <c r="AY52" s="34">
        <f t="shared" si="74"/>
        <v>1727.0671328011208</v>
      </c>
      <c r="AZ52" s="35">
        <f t="shared" si="75"/>
        <v>2448.9008116472996</v>
      </c>
      <c r="BA52" s="35">
        <f t="shared" si="76"/>
        <v>5681.5531174692096</v>
      </c>
      <c r="BB52" s="35">
        <f t="shared" si="77"/>
        <v>6839.8651164014318</v>
      </c>
      <c r="BC52" s="35">
        <f t="shared" si="78"/>
        <v>3077.7803978443244</v>
      </c>
      <c r="BD52" s="35">
        <f t="shared" si="79"/>
        <v>2131.7421048009433</v>
      </c>
      <c r="BE52" s="35">
        <f t="shared" si="80"/>
        <v>2733.2827466868875</v>
      </c>
      <c r="BF52" s="35">
        <f t="shared" si="81"/>
        <v>5889.5057671468458</v>
      </c>
      <c r="BG52" s="35">
        <f t="shared" si="82"/>
        <v>8628.5753548139983</v>
      </c>
      <c r="BH52" s="35">
        <f t="shared" si="83"/>
        <v>8203.8243263224886</v>
      </c>
      <c r="BI52" s="35">
        <f t="shared" si="84"/>
        <v>5817.8915377368894</v>
      </c>
      <c r="BJ52" s="35">
        <f t="shared" si="85"/>
        <v>1909.252417280994</v>
      </c>
      <c r="BK52" s="35">
        <f t="shared" si="86"/>
        <v>2171.3396439770113</v>
      </c>
      <c r="BL52" s="35">
        <f t="shared" si="87"/>
        <v>1318.6393225214281</v>
      </c>
      <c r="BM52" s="35">
        <f t="shared" si="88"/>
        <v>1837.1178991258528</v>
      </c>
      <c r="BN52" s="35">
        <f t="shared" si="89"/>
        <v>386.05964442191964</v>
      </c>
      <c r="BO52" s="35">
        <f t="shared" si="90"/>
        <v>1118.12570162933</v>
      </c>
      <c r="BP52" s="35">
        <f t="shared" si="91"/>
        <v>177.94966291461057</v>
      </c>
      <c r="BQ52" s="35">
        <f t="shared" si="92"/>
        <v>28.191816713446471</v>
      </c>
      <c r="BR52" s="36">
        <f t="shared" si="93"/>
        <v>188.01024775563346</v>
      </c>
      <c r="CB52" s="26">
        <f t="shared" si="94"/>
        <v>31.955600995780305</v>
      </c>
      <c r="CC52" s="4">
        <f t="shared" si="95"/>
        <v>37.340646204058473</v>
      </c>
      <c r="CD52" s="4">
        <f t="shared" si="96"/>
        <v>47.916648687080759</v>
      </c>
      <c r="CE52" s="4">
        <f t="shared" si="97"/>
        <v>50.789205800408475</v>
      </c>
      <c r="CF52" s="4">
        <f t="shared" si="98"/>
        <v>47.763662281395376</v>
      </c>
      <c r="CG52" s="4">
        <f t="shared" si="99"/>
        <v>45.049708570362078</v>
      </c>
      <c r="CH52" s="4">
        <f t="shared" si="100"/>
        <v>48.33047699098811</v>
      </c>
      <c r="CI52" s="4">
        <f t="shared" si="101"/>
        <v>53.61136963638117</v>
      </c>
      <c r="CJ52" s="4">
        <f t="shared" si="102"/>
        <v>53.17412443629987</v>
      </c>
      <c r="CK52" s="4">
        <f t="shared" si="103"/>
        <v>52.468798556403001</v>
      </c>
      <c r="CL52" s="4">
        <f t="shared" si="104"/>
        <v>52.625303891868157</v>
      </c>
      <c r="CM52" s="4">
        <f t="shared" si="105"/>
        <v>62.024036122129395</v>
      </c>
      <c r="CN52" s="4">
        <f t="shared" si="106"/>
        <v>60.369306536590585</v>
      </c>
      <c r="CO52" s="4">
        <f t="shared" si="107"/>
        <v>57.805821662865775</v>
      </c>
      <c r="CP52" s="4">
        <f t="shared" si="108"/>
        <v>44.453065100762444</v>
      </c>
      <c r="CQ52" s="4">
        <f t="shared" si="109"/>
        <v>42.039519425330262</v>
      </c>
      <c r="CR52" s="4">
        <f t="shared" si="110"/>
        <v>36.015223188434447</v>
      </c>
      <c r="CS52" s="4">
        <f t="shared" si="111"/>
        <v>31.870375244071553</v>
      </c>
      <c r="CT52" s="4">
        <f t="shared" si="112"/>
        <v>25.787338401223607</v>
      </c>
      <c r="CU52" s="27">
        <f t="shared" si="113"/>
        <v>30.980771828534063</v>
      </c>
      <c r="CZ52" s="1">
        <v>0.8204423803798363</v>
      </c>
      <c r="DC52" s="1">
        <v>0.89145944530479437</v>
      </c>
      <c r="DD52" s="1">
        <v>0.97501611411704769</v>
      </c>
      <c r="DE52" s="1">
        <v>0.97429350739167719</v>
      </c>
      <c r="DF52" s="1">
        <v>0.9834413054307819</v>
      </c>
    </row>
    <row r="53" spans="1:110" x14ac:dyDescent="0.25">
      <c r="C53" s="34">
        <f t="shared" si="52"/>
        <v>890.70844727317956</v>
      </c>
      <c r="D53" s="35">
        <f t="shared" si="53"/>
        <v>2277.5338948298863</v>
      </c>
      <c r="E53" s="35">
        <f t="shared" si="54"/>
        <v>1909.0223449208315</v>
      </c>
      <c r="F53" s="35">
        <f t="shared" si="55"/>
        <v>1533.8110870667017</v>
      </c>
      <c r="G53" s="35">
        <f t="shared" si="56"/>
        <v>1782.206169364614</v>
      </c>
      <c r="H53" s="35">
        <f t="shared" si="57"/>
        <v>1335.7375785343991</v>
      </c>
      <c r="I53" s="35">
        <f t="shared" si="58"/>
        <v>1742.4592347890436</v>
      </c>
      <c r="J53" s="35">
        <f t="shared" si="59"/>
        <v>1623.777646160009</v>
      </c>
      <c r="K53" s="35">
        <f t="shared" si="60"/>
        <v>3753.9852316277256</v>
      </c>
      <c r="L53" s="35">
        <f t="shared" si="61"/>
        <v>2080.5363710839533</v>
      </c>
      <c r="M53" s="35">
        <f t="shared" si="62"/>
        <v>3559.442391621204</v>
      </c>
      <c r="N53" s="35">
        <f t="shared" si="63"/>
        <v>6455.8081770378913</v>
      </c>
      <c r="O53" s="35">
        <f t="shared" si="64"/>
        <v>6570.3478200380705</v>
      </c>
      <c r="P53" s="35">
        <f t="shared" si="65"/>
        <v>6977.3512971452274</v>
      </c>
      <c r="Q53" s="35">
        <f t="shared" si="66"/>
        <v>6265.0949078395834</v>
      </c>
      <c r="R53" s="35">
        <f t="shared" si="67"/>
        <v>4491.5073173194796</v>
      </c>
      <c r="S53" s="35">
        <f t="shared" si="68"/>
        <v>3071.2149867449048</v>
      </c>
      <c r="T53" s="35">
        <f t="shared" si="69"/>
        <v>2793.5431039086297</v>
      </c>
      <c r="U53" s="35">
        <f t="shared" si="70"/>
        <v>2940.9919635808551</v>
      </c>
      <c r="V53" s="36">
        <f t="shared" si="71"/>
        <v>2761.9550355612241</v>
      </c>
      <c r="AY53" s="34">
        <f t="shared" si="74"/>
        <v>479.88416990836834</v>
      </c>
      <c r="AZ53" s="35">
        <f t="shared" si="75"/>
        <v>1926.2454197512002</v>
      </c>
      <c r="BA53" s="35">
        <f t="shared" si="76"/>
        <v>2098.8886976000122</v>
      </c>
      <c r="BB53" s="35">
        <f t="shared" si="77"/>
        <v>4400.6892787657107</v>
      </c>
      <c r="BC53" s="35">
        <f t="shared" si="78"/>
        <v>3391.7582790384572</v>
      </c>
      <c r="BD53" s="35">
        <f t="shared" si="79"/>
        <v>1508.258230098595</v>
      </c>
      <c r="BE53" s="35">
        <f t="shared" si="80"/>
        <v>3171.6322167629664</v>
      </c>
      <c r="BF53" s="35">
        <f t="shared" si="81"/>
        <v>3533.1863503049562</v>
      </c>
      <c r="BG53" s="35">
        <f t="shared" si="82"/>
        <v>5295.6287645683142</v>
      </c>
      <c r="BH53" s="35">
        <f t="shared" si="83"/>
        <v>9819.0458511377055</v>
      </c>
      <c r="BI53" s="35">
        <f t="shared" si="84"/>
        <v>9173.9096420039405</v>
      </c>
      <c r="BJ53" s="35">
        <f t="shared" si="85"/>
        <v>2468.9012139987349</v>
      </c>
      <c r="BK53" s="35">
        <f t="shared" si="86"/>
        <v>3230.1437114405148</v>
      </c>
      <c r="BL53" s="35">
        <f t="shared" si="87"/>
        <v>2701.4982145461645</v>
      </c>
      <c r="BM53" s="35">
        <f t="shared" si="88"/>
        <v>1761.8510026094809</v>
      </c>
      <c r="BN53" s="35">
        <f t="shared" si="89"/>
        <v>681.7618780720403</v>
      </c>
      <c r="BO53" s="35">
        <f t="shared" si="90"/>
        <v>310.11748834051315</v>
      </c>
      <c r="BP53" s="35">
        <f t="shared" si="91"/>
        <v>215.75074522062593</v>
      </c>
      <c r="BQ53" s="35">
        <f t="shared" si="92"/>
        <v>287.16342782144102</v>
      </c>
      <c r="BR53" s="36">
        <f t="shared" si="93"/>
        <v>297.3346229212649</v>
      </c>
      <c r="CB53" s="26">
        <f t="shared" si="94"/>
        <v>34.648956642165857</v>
      </c>
      <c r="CC53" s="4">
        <f t="shared" si="95"/>
        <v>37.087482265899943</v>
      </c>
      <c r="CD53" s="4">
        <f t="shared" si="96"/>
        <v>43.041971031742797</v>
      </c>
      <c r="CE53" s="4">
        <f t="shared" si="97"/>
        <v>43.576058780204932</v>
      </c>
      <c r="CF53" s="4">
        <f t="shared" si="98"/>
        <v>40.840024248241939</v>
      </c>
      <c r="CG53" s="4">
        <f t="shared" si="99"/>
        <v>38.009035089050933</v>
      </c>
      <c r="CH53" s="4">
        <f t="shared" si="100"/>
        <v>38.369904434287527</v>
      </c>
      <c r="CI53" s="4">
        <f t="shared" si="101"/>
        <v>43.617082132602064</v>
      </c>
      <c r="CJ53" s="4">
        <f t="shared" si="102"/>
        <v>45.274837125270409</v>
      </c>
      <c r="CK53" s="4">
        <f t="shared" si="103"/>
        <v>51.308204111992914</v>
      </c>
      <c r="CL53" s="4">
        <f t="shared" si="104"/>
        <v>56.988985158500249</v>
      </c>
      <c r="CM53" s="4">
        <f t="shared" si="105"/>
        <v>68.321413871980212</v>
      </c>
      <c r="CN53" s="4">
        <f t="shared" si="106"/>
        <v>68.916161153157304</v>
      </c>
      <c r="CO53" s="4">
        <f t="shared" si="107"/>
        <v>65.972673792963022</v>
      </c>
      <c r="CP53" s="4">
        <f t="shared" si="108"/>
        <v>56.668316878144331</v>
      </c>
      <c r="CQ53" s="4">
        <f t="shared" si="109"/>
        <v>50.233569334559178</v>
      </c>
      <c r="CR53" s="4">
        <f t="shared" si="110"/>
        <v>43.786328076880146</v>
      </c>
      <c r="CS53" s="4">
        <f t="shared" si="111"/>
        <v>39.424771230522623</v>
      </c>
      <c r="CT53" s="4">
        <f t="shared" si="112"/>
        <v>38.072471158903838</v>
      </c>
      <c r="CU53" s="27">
        <f t="shared" si="113"/>
        <v>40.961881396189717</v>
      </c>
      <c r="CZ53" s="1">
        <v>0.82035500473396006</v>
      </c>
      <c r="DC53" s="1">
        <v>0.89282251702453364</v>
      </c>
      <c r="DD53" s="1">
        <v>0.97553285776694831</v>
      </c>
      <c r="DE53" s="1">
        <v>0.97361685764456019</v>
      </c>
      <c r="DF53" s="1">
        <v>0.98285043265189453</v>
      </c>
    </row>
    <row r="54" spans="1:110" x14ac:dyDescent="0.25">
      <c r="C54" s="34">
        <f t="shared" si="52"/>
        <v>591.95519335434881</v>
      </c>
      <c r="D54" s="35">
        <f t="shared" si="53"/>
        <v>759.96817330354384</v>
      </c>
      <c r="E54" s="35">
        <f t="shared" si="54"/>
        <v>731.82541219720054</v>
      </c>
      <c r="F54" s="35">
        <f t="shared" si="55"/>
        <v>748.23985368417948</v>
      </c>
      <c r="G54" s="35">
        <f t="shared" si="56"/>
        <v>1113.3791494916127</v>
      </c>
      <c r="H54" s="35">
        <f t="shared" si="57"/>
        <v>1533.7685316038862</v>
      </c>
      <c r="I54" s="35">
        <f t="shared" si="58"/>
        <v>1661.9744993485815</v>
      </c>
      <c r="J54" s="35">
        <f t="shared" si="59"/>
        <v>5962.0581906072875</v>
      </c>
      <c r="K54" s="35">
        <f t="shared" si="60"/>
        <v>3651.1453683135101</v>
      </c>
      <c r="L54" s="35">
        <f t="shared" si="61"/>
        <v>4012.182215342234</v>
      </c>
      <c r="M54" s="35">
        <f t="shared" si="62"/>
        <v>4126.4770084496531</v>
      </c>
      <c r="N54" s="35">
        <f t="shared" si="63"/>
        <v>8795.3825110161742</v>
      </c>
      <c r="O54" s="35">
        <f t="shared" si="64"/>
        <v>9282.7627160180764</v>
      </c>
      <c r="P54" s="35">
        <f t="shared" si="65"/>
        <v>6983.1225445546124</v>
      </c>
      <c r="Q54" s="35">
        <f t="shared" si="66"/>
        <v>5315.3574631395222</v>
      </c>
      <c r="R54" s="35">
        <f t="shared" si="67"/>
        <v>5267.5404371760405</v>
      </c>
      <c r="S54" s="35">
        <f t="shared" si="68"/>
        <v>4354.362262602549</v>
      </c>
      <c r="T54" s="35">
        <f t="shared" si="69"/>
        <v>1303.9151632765586</v>
      </c>
      <c r="U54" s="35">
        <f t="shared" si="70"/>
        <v>1157.1511267287945</v>
      </c>
      <c r="V54" s="36">
        <f t="shared" si="71"/>
        <v>574.57266702296931</v>
      </c>
      <c r="AB54" s="143" t="s">
        <v>12</v>
      </c>
      <c r="AC54" s="144"/>
      <c r="AD54" s="144"/>
      <c r="AE54" s="144"/>
      <c r="AF54" s="144"/>
      <c r="AG54" s="144"/>
      <c r="AH54" s="144"/>
      <c r="AI54" s="144"/>
      <c r="AJ54" s="144"/>
      <c r="AK54" s="144"/>
      <c r="AL54" s="144"/>
      <c r="AM54" s="144"/>
      <c r="AN54" s="144"/>
      <c r="AO54" s="144"/>
      <c r="AP54" s="144"/>
      <c r="AQ54" s="144"/>
      <c r="AR54" s="144"/>
      <c r="AS54" s="145"/>
      <c r="AY54" s="34">
        <f t="shared" si="74"/>
        <v>3132.6985049936075</v>
      </c>
      <c r="AZ54" s="35">
        <f t="shared" si="75"/>
        <v>1514.8010438698473</v>
      </c>
      <c r="BA54" s="35">
        <f t="shared" si="76"/>
        <v>734.34969525747567</v>
      </c>
      <c r="BB54" s="35">
        <f t="shared" si="77"/>
        <v>682.64098715376974</v>
      </c>
      <c r="BC54" s="35">
        <f t="shared" si="78"/>
        <v>1078.6702316809199</v>
      </c>
      <c r="BD54" s="35">
        <f t="shared" si="79"/>
        <v>1546.3599119469361</v>
      </c>
      <c r="BE54" s="35">
        <f t="shared" si="80"/>
        <v>2154.7027725689172</v>
      </c>
      <c r="BF54" s="35">
        <f t="shared" si="81"/>
        <v>9868.3913875321359</v>
      </c>
      <c r="BG54" s="35">
        <f t="shared" si="82"/>
        <v>6198.0033793651746</v>
      </c>
      <c r="BH54" s="35">
        <f t="shared" si="83"/>
        <v>4525.8648063587007</v>
      </c>
      <c r="BI54" s="35">
        <f t="shared" si="84"/>
        <v>3297.9381234754655</v>
      </c>
      <c r="BJ54" s="35">
        <f t="shared" si="85"/>
        <v>1641.7148609856447</v>
      </c>
      <c r="BK54" s="35">
        <f t="shared" si="86"/>
        <v>4339.9141824818507</v>
      </c>
      <c r="BL54" s="35">
        <f t="shared" si="87"/>
        <v>2900.09962066771</v>
      </c>
      <c r="BM54" s="35">
        <f t="shared" si="88"/>
        <v>2552.0764743375225</v>
      </c>
      <c r="BN54" s="35">
        <f t="shared" si="89"/>
        <v>2975.6797392646645</v>
      </c>
      <c r="BO54" s="35">
        <f t="shared" si="90"/>
        <v>861.28779733867748</v>
      </c>
      <c r="BP54" s="35">
        <f t="shared" si="91"/>
        <v>153.76689854747264</v>
      </c>
      <c r="BQ54" s="35">
        <f t="shared" si="92"/>
        <v>472.97477805869295</v>
      </c>
      <c r="BR54" s="36">
        <f t="shared" si="93"/>
        <v>964.23637808267949</v>
      </c>
      <c r="CB54" s="26">
        <f t="shared" si="94"/>
        <v>38.44246570589047</v>
      </c>
      <c r="CC54" s="4">
        <f t="shared" si="95"/>
        <v>38.266184620687028</v>
      </c>
      <c r="CD54" s="4">
        <f t="shared" si="96"/>
        <v>40.457324451857133</v>
      </c>
      <c r="CE54" s="4">
        <f t="shared" si="97"/>
        <v>38.995414041798043</v>
      </c>
      <c r="CF54" s="4">
        <f t="shared" si="98"/>
        <v>37.89687189039099</v>
      </c>
      <c r="CG54" s="4">
        <f t="shared" si="99"/>
        <v>36.923052522485264</v>
      </c>
      <c r="CH54" s="4">
        <f t="shared" si="100"/>
        <v>40.588246171069414</v>
      </c>
      <c r="CI54" s="4">
        <f t="shared" si="101"/>
        <v>46.368403606957564</v>
      </c>
      <c r="CJ54" s="4">
        <f t="shared" si="102"/>
        <v>50.15520814684168</v>
      </c>
      <c r="CK54" s="4">
        <f t="shared" si="103"/>
        <v>55.188039383544996</v>
      </c>
      <c r="CL54" s="4">
        <f t="shared" si="104"/>
        <v>63.552057844157716</v>
      </c>
      <c r="CM54" s="4">
        <f t="shared" si="105"/>
        <v>74.518879902628655</v>
      </c>
      <c r="CN54" s="4">
        <f t="shared" si="106"/>
        <v>76.326493980731286</v>
      </c>
      <c r="CO54" s="4">
        <f t="shared" si="107"/>
        <v>74.978141359247473</v>
      </c>
      <c r="CP54" s="4">
        <f t="shared" si="108"/>
        <v>69.519778653646185</v>
      </c>
      <c r="CQ54" s="4">
        <f t="shared" si="109"/>
        <v>65.461099621499145</v>
      </c>
      <c r="CR54" s="4">
        <f t="shared" si="110"/>
        <v>54.911961567796311</v>
      </c>
      <c r="CS54" s="4">
        <f t="shared" si="111"/>
        <v>45.525613356689568</v>
      </c>
      <c r="CT54" s="4">
        <f t="shared" si="112"/>
        <v>38.153766165030923</v>
      </c>
      <c r="CU54" s="27">
        <f t="shared" si="113"/>
        <v>41.384817436743745</v>
      </c>
      <c r="CZ54" s="1">
        <v>0.82025462940729965</v>
      </c>
      <c r="DC54" s="1">
        <v>0.8941820458304105</v>
      </c>
      <c r="DD54" s="1">
        <v>0.97603834389162125</v>
      </c>
      <c r="DE54" s="1">
        <v>0.97292125551574771</v>
      </c>
      <c r="DF54" s="1">
        <v>0.98224097179883807</v>
      </c>
    </row>
    <row r="55" spans="1:110" x14ac:dyDescent="0.25">
      <c r="C55" s="34">
        <f t="shared" si="52"/>
        <v>385.42204860701827</v>
      </c>
      <c r="D55" s="35">
        <f t="shared" si="53"/>
        <v>804.34785358577085</v>
      </c>
      <c r="E55" s="35">
        <f t="shared" si="54"/>
        <v>782.73972867293742</v>
      </c>
      <c r="F55" s="35">
        <f t="shared" si="55"/>
        <v>1362.614066994619</v>
      </c>
      <c r="G55" s="35">
        <f t="shared" si="56"/>
        <v>1467.6542518098101</v>
      </c>
      <c r="H55" s="35">
        <f t="shared" si="57"/>
        <v>1818.2022299695614</v>
      </c>
      <c r="I55" s="35">
        <f t="shared" si="58"/>
        <v>3762.3897395592699</v>
      </c>
      <c r="J55" s="35">
        <f t="shared" si="59"/>
        <v>5312.7407347324643</v>
      </c>
      <c r="K55" s="35">
        <f t="shared" si="60"/>
        <v>3337.1580912311852</v>
      </c>
      <c r="L55" s="35">
        <f t="shared" si="61"/>
        <v>2017.6851730672622</v>
      </c>
      <c r="M55" s="35">
        <f t="shared" si="62"/>
        <v>9999.9999999999964</v>
      </c>
      <c r="N55" s="35">
        <f t="shared" si="63"/>
        <v>7276.0231703012732</v>
      </c>
      <c r="O55" s="35">
        <f t="shared" si="64"/>
        <v>5465.2576308060789</v>
      </c>
      <c r="P55" s="35">
        <f t="shared" si="65"/>
        <v>4317.5869158910882</v>
      </c>
      <c r="Q55" s="35">
        <f t="shared" si="66"/>
        <v>3805.3377497032193</v>
      </c>
      <c r="R55" s="35">
        <f t="shared" si="67"/>
        <v>2472.5615460793292</v>
      </c>
      <c r="S55" s="35">
        <f t="shared" si="68"/>
        <v>1163.8082326608737</v>
      </c>
      <c r="T55" s="35">
        <f t="shared" si="69"/>
        <v>1203.9341397253975</v>
      </c>
      <c r="U55" s="35">
        <f t="shared" si="70"/>
        <v>712.60019693469667</v>
      </c>
      <c r="V55" s="36">
        <f t="shared" si="71"/>
        <v>539.90456818159169</v>
      </c>
      <c r="AH55" s="127">
        <f>SUM(AA41:AT50)^2/(SUM(C50:V59)*SUM(AY50:BR59))</f>
        <v>0.79334728613033612</v>
      </c>
      <c r="AI55" s="128"/>
      <c r="AJ55" s="128"/>
      <c r="AK55" s="129"/>
      <c r="AY55" s="34">
        <f t="shared" si="74"/>
        <v>236.50504252738597</v>
      </c>
      <c r="AZ55" s="35">
        <f t="shared" si="75"/>
        <v>312.76340644652117</v>
      </c>
      <c r="BA55" s="35">
        <f t="shared" si="76"/>
        <v>457.78143604643293</v>
      </c>
      <c r="BB55" s="35">
        <f t="shared" si="77"/>
        <v>1234.7355391219069</v>
      </c>
      <c r="BC55" s="35">
        <f t="shared" si="78"/>
        <v>2599.8368477312606</v>
      </c>
      <c r="BD55" s="35">
        <f t="shared" si="79"/>
        <v>7637.2770678058887</v>
      </c>
      <c r="BE55" s="35">
        <f t="shared" si="80"/>
        <v>6612.2457129261211</v>
      </c>
      <c r="BF55" s="35">
        <f t="shared" si="81"/>
        <v>6285.9755921433161</v>
      </c>
      <c r="BG55" s="35">
        <f t="shared" si="82"/>
        <v>5187.0446750141691</v>
      </c>
      <c r="BH55" s="35">
        <f t="shared" si="83"/>
        <v>2764.7558568054451</v>
      </c>
      <c r="BI55" s="35">
        <f t="shared" si="84"/>
        <v>5104.0988706111293</v>
      </c>
      <c r="BJ55" s="35">
        <f t="shared" si="85"/>
        <v>1357.2101942699737</v>
      </c>
      <c r="BK55" s="35">
        <f t="shared" si="86"/>
        <v>1170.5724806320009</v>
      </c>
      <c r="BL55" s="35">
        <f t="shared" si="87"/>
        <v>3650.6637952379388</v>
      </c>
      <c r="BM55" s="35">
        <f t="shared" si="88"/>
        <v>3780.1803249374716</v>
      </c>
      <c r="BN55" s="35">
        <f t="shared" si="89"/>
        <v>1834.0550781200129</v>
      </c>
      <c r="BO55" s="35">
        <f t="shared" si="90"/>
        <v>478.67840831319967</v>
      </c>
      <c r="BP55" s="35">
        <f t="shared" si="91"/>
        <v>2643.8905333477765</v>
      </c>
      <c r="BQ55" s="35">
        <f t="shared" si="92"/>
        <v>91.010007795559048</v>
      </c>
      <c r="BR55" s="36">
        <f t="shared" si="93"/>
        <v>81.961669236170636</v>
      </c>
      <c r="CB55" s="26">
        <f t="shared" si="94"/>
        <v>29.576516577826236</v>
      </c>
      <c r="CC55" s="4">
        <f t="shared" si="95"/>
        <v>30.686801964182589</v>
      </c>
      <c r="CD55" s="4">
        <f t="shared" si="96"/>
        <v>33.978406323984672</v>
      </c>
      <c r="CE55" s="4">
        <f t="shared" si="97"/>
        <v>35.116343411573894</v>
      </c>
      <c r="CF55" s="4">
        <f t="shared" si="98"/>
        <v>37.297383993036306</v>
      </c>
      <c r="CG55" s="4">
        <f t="shared" si="99"/>
        <v>41.788155297853578</v>
      </c>
      <c r="CH55" s="4">
        <f t="shared" si="100"/>
        <v>50.288771247908208</v>
      </c>
      <c r="CI55" s="4">
        <f t="shared" si="101"/>
        <v>57.078897894911925</v>
      </c>
      <c r="CJ55" s="4">
        <f t="shared" si="102"/>
        <v>58.192777716774373</v>
      </c>
      <c r="CK55" s="4">
        <f t="shared" si="103"/>
        <v>61.914964742995899</v>
      </c>
      <c r="CL55" s="4">
        <f t="shared" si="104"/>
        <v>70.800379152119049</v>
      </c>
      <c r="CM55" s="4">
        <f t="shared" si="105"/>
        <v>81.629137085509441</v>
      </c>
      <c r="CN55" s="4">
        <f t="shared" si="106"/>
        <v>82.618608776088905</v>
      </c>
      <c r="CO55" s="4">
        <f t="shared" si="107"/>
        <v>77.542488481687869</v>
      </c>
      <c r="CP55" s="4">
        <f t="shared" si="108"/>
        <v>70.652403215699366</v>
      </c>
      <c r="CQ55" s="4">
        <f t="shared" si="109"/>
        <v>62.0653811000819</v>
      </c>
      <c r="CR55" s="4">
        <f t="shared" si="110"/>
        <v>52.055962028944521</v>
      </c>
      <c r="CS55" s="4">
        <f t="shared" si="111"/>
        <v>43.791630856251281</v>
      </c>
      <c r="CT55" s="4">
        <f t="shared" si="112"/>
        <v>37.59603402458751</v>
      </c>
      <c r="CU55" s="27">
        <f t="shared" si="113"/>
        <v>41.321756557994227</v>
      </c>
      <c r="CZ55" s="1">
        <v>0.8201410077828013</v>
      </c>
      <c r="DC55" s="1">
        <v>0.89553781064485583</v>
      </c>
      <c r="DD55" s="1">
        <v>0.97653229320087265</v>
      </c>
      <c r="DE55" s="1">
        <v>0.97220640239631728</v>
      </c>
      <c r="DF55" s="1">
        <v>0.98161262192929832</v>
      </c>
    </row>
    <row r="56" spans="1:110" x14ac:dyDescent="0.25">
      <c r="C56" s="34">
        <f t="shared" si="52"/>
        <v>543.705283808182</v>
      </c>
      <c r="D56" s="35">
        <f t="shared" si="53"/>
        <v>911.35342782312944</v>
      </c>
      <c r="E56" s="35">
        <f t="shared" si="54"/>
        <v>1590.8306849931719</v>
      </c>
      <c r="F56" s="35">
        <f t="shared" si="55"/>
        <v>2089.5654940848999</v>
      </c>
      <c r="G56" s="35">
        <f t="shared" si="56"/>
        <v>3553.7312706119096</v>
      </c>
      <c r="H56" s="35">
        <f t="shared" si="57"/>
        <v>3729.0187081589224</v>
      </c>
      <c r="I56" s="35">
        <f t="shared" si="58"/>
        <v>3242.7955740559596</v>
      </c>
      <c r="J56" s="35">
        <f t="shared" si="59"/>
        <v>2756.5194015397365</v>
      </c>
      <c r="K56" s="35">
        <f t="shared" si="60"/>
        <v>2356.2664886337579</v>
      </c>
      <c r="L56" s="35">
        <f t="shared" si="61"/>
        <v>1527.1299629462289</v>
      </c>
      <c r="M56" s="35">
        <f t="shared" si="62"/>
        <v>5003.7419828891616</v>
      </c>
      <c r="N56" s="35">
        <f t="shared" si="63"/>
        <v>4590.6264543071611</v>
      </c>
      <c r="O56" s="35">
        <f t="shared" si="64"/>
        <v>9694.2137144072076</v>
      </c>
      <c r="P56" s="35">
        <f t="shared" si="65"/>
        <v>3800.6090911792767</v>
      </c>
      <c r="Q56" s="35">
        <f t="shared" si="66"/>
        <v>3582.3063500538788</v>
      </c>
      <c r="R56" s="35">
        <f t="shared" si="67"/>
        <v>2289.604442507462</v>
      </c>
      <c r="S56" s="35">
        <f t="shared" si="68"/>
        <v>1142.8086725764424</v>
      </c>
      <c r="T56" s="35">
        <f t="shared" si="69"/>
        <v>2315.9928047716658</v>
      </c>
      <c r="U56" s="35">
        <f t="shared" si="70"/>
        <v>4067.4144370433696</v>
      </c>
      <c r="V56" s="36">
        <f t="shared" si="71"/>
        <v>2368.7856653001431</v>
      </c>
      <c r="AY56" s="34">
        <f t="shared" si="74"/>
        <v>190.8740161250075</v>
      </c>
      <c r="AZ56" s="35">
        <f t="shared" si="75"/>
        <v>642.05498279367293</v>
      </c>
      <c r="BA56" s="35">
        <f t="shared" si="76"/>
        <v>1692.7902817427232</v>
      </c>
      <c r="BB56" s="35">
        <f t="shared" si="77"/>
        <v>5088.3915315855538</v>
      </c>
      <c r="BC56" s="35">
        <f t="shared" si="78"/>
        <v>8756.4042641707983</v>
      </c>
      <c r="BD56" s="35">
        <f t="shared" si="79"/>
        <v>9932.9084603287265</v>
      </c>
      <c r="BE56" s="35">
        <f t="shared" si="80"/>
        <v>9927.0874954977226</v>
      </c>
      <c r="BF56" s="35">
        <f t="shared" si="81"/>
        <v>8222.2267694468246</v>
      </c>
      <c r="BG56" s="35">
        <f t="shared" si="82"/>
        <v>2383.5309177288032</v>
      </c>
      <c r="BH56" s="35">
        <f t="shared" si="83"/>
        <v>2188.0014623927141</v>
      </c>
      <c r="BI56" s="35">
        <f t="shared" si="84"/>
        <v>1725.3335764980341</v>
      </c>
      <c r="BJ56" s="35">
        <f t="shared" si="85"/>
        <v>944.29272490574738</v>
      </c>
      <c r="BK56" s="35">
        <f t="shared" si="86"/>
        <v>4782.6554453624149</v>
      </c>
      <c r="BL56" s="35">
        <f t="shared" si="87"/>
        <v>1649.387865332201</v>
      </c>
      <c r="BM56" s="35">
        <f t="shared" si="88"/>
        <v>3087.0465126963159</v>
      </c>
      <c r="BN56" s="35">
        <f t="shared" si="89"/>
        <v>885.26525848178107</v>
      </c>
      <c r="BO56" s="35">
        <f t="shared" si="90"/>
        <v>173.36355278251162</v>
      </c>
      <c r="BP56" s="35">
        <f t="shared" si="91"/>
        <v>197.40445410775669</v>
      </c>
      <c r="BQ56" s="35">
        <f t="shared" si="92"/>
        <v>858.2292131321318</v>
      </c>
      <c r="BR56" s="36">
        <f t="shared" si="93"/>
        <v>469.58709165681751</v>
      </c>
      <c r="CB56" s="26">
        <f t="shared" si="94"/>
        <v>25.566160816577263</v>
      </c>
      <c r="CC56" s="4">
        <f t="shared" si="95"/>
        <v>27.59021574785254</v>
      </c>
      <c r="CD56" s="4">
        <f t="shared" si="96"/>
        <v>32.334610696446674</v>
      </c>
      <c r="CE56" s="4">
        <f t="shared" si="97"/>
        <v>37.353867889422283</v>
      </c>
      <c r="CF56" s="4">
        <f t="shared" si="98"/>
        <v>42.682140615395269</v>
      </c>
      <c r="CG56" s="4">
        <f t="shared" si="99"/>
        <v>48.134568529863181</v>
      </c>
      <c r="CH56" s="4">
        <f t="shared" si="100"/>
        <v>56.058456102690918</v>
      </c>
      <c r="CI56" s="4">
        <f t="shared" si="101"/>
        <v>58.710101339525067</v>
      </c>
      <c r="CJ56" s="4">
        <f t="shared" si="102"/>
        <v>57.40874101708588</v>
      </c>
      <c r="CK56" s="4">
        <f t="shared" si="103"/>
        <v>61.005331283901732</v>
      </c>
      <c r="CL56" s="4">
        <f t="shared" si="104"/>
        <v>69.905690432132872</v>
      </c>
      <c r="CM56" s="4">
        <f t="shared" si="105"/>
        <v>83.393993132657641</v>
      </c>
      <c r="CN56" s="4">
        <f t="shared" si="106"/>
        <v>80.721516904758005</v>
      </c>
      <c r="CO56" s="4">
        <f t="shared" si="107"/>
        <v>74.900274488925177</v>
      </c>
      <c r="CP56" s="4">
        <f t="shared" si="108"/>
        <v>63.946809937701005</v>
      </c>
      <c r="CQ56" s="4">
        <f t="shared" si="109"/>
        <v>55.389606764160554</v>
      </c>
      <c r="CR56" s="4">
        <f t="shared" si="110"/>
        <v>46.9991615867891</v>
      </c>
      <c r="CS56" s="4">
        <f t="shared" si="111"/>
        <v>41.925304672591466</v>
      </c>
      <c r="CT56" s="4">
        <f t="shared" si="112"/>
        <v>37.699591958772196</v>
      </c>
      <c r="CU56" s="27">
        <f t="shared" si="113"/>
        <v>41.748517809875018</v>
      </c>
      <c r="CZ56" s="1">
        <v>0.82001388965759425</v>
      </c>
      <c r="DC56" s="1">
        <v>0.89688958536438212</v>
      </c>
      <c r="DD56" s="1">
        <v>0.97701442156985874</v>
      </c>
      <c r="DE56" s="1">
        <v>0.97147199605298129</v>
      </c>
      <c r="DF56" s="1">
        <v>0.98096507833382174</v>
      </c>
    </row>
    <row r="57" spans="1:110" x14ac:dyDescent="0.25">
      <c r="C57" s="34">
        <f t="shared" si="52"/>
        <v>2318.900458106988</v>
      </c>
      <c r="D57" s="35">
        <f t="shared" si="53"/>
        <v>2211.766598358055</v>
      </c>
      <c r="E57" s="35">
        <f t="shared" si="54"/>
        <v>2541.6186432909312</v>
      </c>
      <c r="F57" s="35">
        <f t="shared" si="55"/>
        <v>4108.2283544800493</v>
      </c>
      <c r="G57" s="35">
        <f t="shared" si="56"/>
        <v>6211.9112348289291</v>
      </c>
      <c r="H57" s="35">
        <f t="shared" si="57"/>
        <v>3701.0355675877627</v>
      </c>
      <c r="I57" s="35">
        <f t="shared" si="58"/>
        <v>1934.9014386665913</v>
      </c>
      <c r="J57" s="35">
        <f t="shared" si="59"/>
        <v>2340.2902618874818</v>
      </c>
      <c r="K57" s="35">
        <f t="shared" si="60"/>
        <v>3079.4012352780601</v>
      </c>
      <c r="L57" s="35">
        <f t="shared" si="61"/>
        <v>2218.6682315080711</v>
      </c>
      <c r="M57" s="35">
        <f t="shared" si="62"/>
        <v>2562.7114553399474</v>
      </c>
      <c r="N57" s="35">
        <f t="shared" si="63"/>
        <v>3908.7840069416548</v>
      </c>
      <c r="O57" s="35">
        <f t="shared" si="64"/>
        <v>1430.244703645277</v>
      </c>
      <c r="P57" s="35">
        <f t="shared" si="65"/>
        <v>1041.4041792397479</v>
      </c>
      <c r="Q57" s="35">
        <f t="shared" si="66"/>
        <v>2801.9672703233214</v>
      </c>
      <c r="R57" s="35">
        <f t="shared" si="67"/>
        <v>3759.0217395630543</v>
      </c>
      <c r="S57" s="35">
        <f t="shared" si="68"/>
        <v>2713.7267253619125</v>
      </c>
      <c r="T57" s="35">
        <f t="shared" si="69"/>
        <v>3851.546169142176</v>
      </c>
      <c r="U57" s="35">
        <f t="shared" si="70"/>
        <v>2090.4532328893888</v>
      </c>
      <c r="V57" s="36">
        <f t="shared" si="71"/>
        <v>1492.3574220460559</v>
      </c>
      <c r="AY57" s="34">
        <f t="shared" si="74"/>
        <v>1431.2172884221436</v>
      </c>
      <c r="AZ57" s="35">
        <f t="shared" si="75"/>
        <v>2230.8870495066358</v>
      </c>
      <c r="BA57" s="35">
        <f t="shared" si="76"/>
        <v>8970.5399864980172</v>
      </c>
      <c r="BB57" s="35">
        <f t="shared" si="77"/>
        <v>9655.5906557748076</v>
      </c>
      <c r="BC57" s="35">
        <f t="shared" si="78"/>
        <v>9953.8503082630959</v>
      </c>
      <c r="BD57" s="35">
        <f t="shared" si="79"/>
        <v>9414.181241602364</v>
      </c>
      <c r="BE57" s="35">
        <f t="shared" si="80"/>
        <v>8872.670513268893</v>
      </c>
      <c r="BF57" s="35">
        <f t="shared" si="81"/>
        <v>4900.856782929467</v>
      </c>
      <c r="BG57" s="35">
        <f t="shared" si="82"/>
        <v>7065.022075475712</v>
      </c>
      <c r="BH57" s="35">
        <f t="shared" si="83"/>
        <v>3495.3421416509182</v>
      </c>
      <c r="BI57" s="35">
        <f t="shared" si="84"/>
        <v>1091.3236303899134</v>
      </c>
      <c r="BJ57" s="35">
        <f t="shared" si="85"/>
        <v>787.37608850570928</v>
      </c>
      <c r="BK57" s="35">
        <f t="shared" si="86"/>
        <v>405.04501531063278</v>
      </c>
      <c r="BL57" s="35">
        <f t="shared" si="87"/>
        <v>432.57635839067166</v>
      </c>
      <c r="BM57" s="35">
        <f t="shared" si="88"/>
        <v>2184.1647750023699</v>
      </c>
      <c r="BN57" s="35">
        <f t="shared" si="89"/>
        <v>1778.9857958337282</v>
      </c>
      <c r="BO57" s="35">
        <f t="shared" si="90"/>
        <v>354.71190718448787</v>
      </c>
      <c r="BP57" s="35">
        <f t="shared" si="91"/>
        <v>1678.1044468731679</v>
      </c>
      <c r="BQ57" s="35">
        <f t="shared" si="92"/>
        <v>159.63391143625918</v>
      </c>
      <c r="BR57" s="36">
        <f t="shared" si="93"/>
        <v>37.032049148775243</v>
      </c>
      <c r="CB57" s="26">
        <f t="shared" si="94"/>
        <v>32.780616826436116</v>
      </c>
      <c r="CC57" s="4">
        <f t="shared" si="95"/>
        <v>34.995652725723936</v>
      </c>
      <c r="CD57" s="4">
        <f t="shared" si="96"/>
        <v>41.175231665517899</v>
      </c>
      <c r="CE57" s="4">
        <f t="shared" si="97"/>
        <v>49.081871066371377</v>
      </c>
      <c r="CF57" s="4">
        <f t="shared" si="98"/>
        <v>54.222430823199133</v>
      </c>
      <c r="CG57" s="4">
        <f t="shared" si="99"/>
        <v>55.950270244410582</v>
      </c>
      <c r="CH57" s="4">
        <f t="shared" si="100"/>
        <v>55.620139942608397</v>
      </c>
      <c r="CI57" s="4">
        <f t="shared" si="101"/>
        <v>55.315659031076535</v>
      </c>
      <c r="CJ57" s="4">
        <f t="shared" si="102"/>
        <v>51.852160849011469</v>
      </c>
      <c r="CK57" s="4">
        <f t="shared" si="103"/>
        <v>57.140238738712668</v>
      </c>
      <c r="CL57" s="4">
        <f t="shared" si="104"/>
        <v>63.11492271102103</v>
      </c>
      <c r="CM57" s="4">
        <f t="shared" si="105"/>
        <v>71.904395277051094</v>
      </c>
      <c r="CN57" s="4">
        <f t="shared" si="106"/>
        <v>65.045268470922565</v>
      </c>
      <c r="CO57" s="4">
        <f t="shared" si="107"/>
        <v>60.478531135974585</v>
      </c>
      <c r="CP57" s="4">
        <f t="shared" si="108"/>
        <v>54.776350699482464</v>
      </c>
      <c r="CQ57" s="4">
        <f t="shared" si="109"/>
        <v>50.374718157974392</v>
      </c>
      <c r="CR57" s="4">
        <f t="shared" si="110"/>
        <v>47.086933764269048</v>
      </c>
      <c r="CS57" s="4">
        <f t="shared" si="111"/>
        <v>44.565467095178732</v>
      </c>
      <c r="CT57" s="4">
        <f t="shared" si="112"/>
        <v>43.512526185662097</v>
      </c>
      <c r="CU57" s="27">
        <f t="shared" si="113"/>
        <v>44.545802277605077</v>
      </c>
      <c r="CZ57" s="1">
        <v>0.81987302121737127</v>
      </c>
      <c r="DC57" s="1">
        <v>0.8982371387769793</v>
      </c>
      <c r="DD57" s="1">
        <v>0.97748443998459711</v>
      </c>
      <c r="DE57" s="1">
        <v>0.97071773062066202</v>
      </c>
      <c r="DF57" s="1">
        <v>0.98029803252457826</v>
      </c>
    </row>
    <row r="58" spans="1:110" x14ac:dyDescent="0.25">
      <c r="C58" s="34">
        <f t="shared" si="52"/>
        <v>4579.7652554840706</v>
      </c>
      <c r="D58" s="35">
        <f t="shared" si="53"/>
        <v>2760.0084695073192</v>
      </c>
      <c r="E58" s="35">
        <f t="shared" si="54"/>
        <v>1066.8927949320384</v>
      </c>
      <c r="F58" s="35">
        <f t="shared" si="55"/>
        <v>1019.46577236729</v>
      </c>
      <c r="G58" s="35">
        <f t="shared" si="56"/>
        <v>1942.044459545308</v>
      </c>
      <c r="H58" s="35">
        <f t="shared" si="57"/>
        <v>1493.265350930001</v>
      </c>
      <c r="I58" s="35">
        <f t="shared" si="58"/>
        <v>2339.6250553977616</v>
      </c>
      <c r="J58" s="35">
        <f t="shared" si="59"/>
        <v>1931.8088941640085</v>
      </c>
      <c r="K58" s="35">
        <f t="shared" si="60"/>
        <v>2002.2364602002892</v>
      </c>
      <c r="L58" s="35">
        <f t="shared" si="61"/>
        <v>4225.6537757604883</v>
      </c>
      <c r="M58" s="35">
        <f t="shared" si="62"/>
        <v>3380.0216452056397</v>
      </c>
      <c r="N58" s="35">
        <f t="shared" si="63"/>
        <v>2378.6976956562885</v>
      </c>
      <c r="O58" s="35">
        <f t="shared" si="64"/>
        <v>1140.0386803939175</v>
      </c>
      <c r="P58" s="35">
        <f t="shared" si="65"/>
        <v>1036.9243827966932</v>
      </c>
      <c r="Q58" s="35">
        <f t="shared" si="66"/>
        <v>2178.9826266217492</v>
      </c>
      <c r="R58" s="35">
        <f t="shared" si="67"/>
        <v>698.40608674349676</v>
      </c>
      <c r="S58" s="35">
        <f t="shared" si="68"/>
        <v>778.18868760621774</v>
      </c>
      <c r="T58" s="35">
        <f t="shared" si="69"/>
        <v>946.37487545618387</v>
      </c>
      <c r="U58" s="35">
        <f t="shared" si="70"/>
        <v>650.32574877058607</v>
      </c>
      <c r="V58" s="36">
        <f t="shared" si="71"/>
        <v>757.76848509727085</v>
      </c>
      <c r="AY58" s="34">
        <f t="shared" si="74"/>
        <v>9743.2000724232585</v>
      </c>
      <c r="AZ58" s="35">
        <f t="shared" si="75"/>
        <v>9644.4419289656253</v>
      </c>
      <c r="BA58" s="35">
        <f t="shared" si="76"/>
        <v>4278.9066038637329</v>
      </c>
      <c r="BB58" s="35">
        <f t="shared" si="77"/>
        <v>3639.4286519872871</v>
      </c>
      <c r="BC58" s="35">
        <f t="shared" si="78"/>
        <v>7962.9683788332204</v>
      </c>
      <c r="BD58" s="35">
        <f t="shared" si="79"/>
        <v>6914.7204854718248</v>
      </c>
      <c r="BE58" s="35">
        <f t="shared" si="80"/>
        <v>8967.6948722244051</v>
      </c>
      <c r="BF58" s="35">
        <f t="shared" si="81"/>
        <v>8792.8833254539495</v>
      </c>
      <c r="BG58" s="35">
        <f t="shared" si="82"/>
        <v>4863.3649777255914</v>
      </c>
      <c r="BH58" s="35">
        <f t="shared" si="83"/>
        <v>8083.4104500919784</v>
      </c>
      <c r="BI58" s="35">
        <f t="shared" si="84"/>
        <v>2120.4936210081614</v>
      </c>
      <c r="BJ58" s="35">
        <f t="shared" si="85"/>
        <v>1097.2587143711032</v>
      </c>
      <c r="BK58" s="35">
        <f t="shared" si="86"/>
        <v>318.19811428715121</v>
      </c>
      <c r="BL58" s="35">
        <f t="shared" si="87"/>
        <v>507.50877872798924</v>
      </c>
      <c r="BM58" s="35">
        <f t="shared" si="88"/>
        <v>874.55517226637994</v>
      </c>
      <c r="BN58" s="35">
        <f t="shared" si="89"/>
        <v>177.67147316722148</v>
      </c>
      <c r="BO58" s="35">
        <f t="shared" si="90"/>
        <v>435.14888405508344</v>
      </c>
      <c r="BP58" s="35">
        <f t="shared" si="91"/>
        <v>243.94182160743262</v>
      </c>
      <c r="BQ58" s="35">
        <f t="shared" si="92"/>
        <v>87.702313249935656</v>
      </c>
      <c r="BR58" s="36">
        <f t="shared" si="93"/>
        <v>54.086921141053196</v>
      </c>
      <c r="CB58" s="26">
        <f t="shared" si="94"/>
        <v>44.816708480073856</v>
      </c>
      <c r="CC58" s="4">
        <f t="shared" si="95"/>
        <v>43.540362585709609</v>
      </c>
      <c r="CD58" s="4">
        <f t="shared" si="96"/>
        <v>43.828127877461554</v>
      </c>
      <c r="CE58" s="4">
        <f t="shared" si="97"/>
        <v>49.688534155938591</v>
      </c>
      <c r="CF58" s="4">
        <f t="shared" si="98"/>
        <v>53.864268387136235</v>
      </c>
      <c r="CG58" s="4">
        <f t="shared" si="99"/>
        <v>54.70498308801681</v>
      </c>
      <c r="CH58" s="4">
        <f t="shared" si="100"/>
        <v>50.519868371495335</v>
      </c>
      <c r="CI58" s="4">
        <f t="shared" si="101"/>
        <v>49.212699355938604</v>
      </c>
      <c r="CJ58" s="4">
        <f t="shared" si="102"/>
        <v>49.421982214149274</v>
      </c>
      <c r="CK58" s="4">
        <f t="shared" si="103"/>
        <v>53.273855178169292</v>
      </c>
      <c r="CL58" s="4">
        <f t="shared" si="104"/>
        <v>56.636769162593993</v>
      </c>
      <c r="CM58" s="4">
        <f t="shared" si="105"/>
        <v>58.731875040568106</v>
      </c>
      <c r="CN58" s="4">
        <f t="shared" si="106"/>
        <v>52.801082602488094</v>
      </c>
      <c r="CO58" s="4">
        <f t="shared" si="107"/>
        <v>50.625441713375537</v>
      </c>
      <c r="CP58" s="4">
        <f t="shared" si="108"/>
        <v>46.797198759153332</v>
      </c>
      <c r="CQ58" s="4">
        <f t="shared" si="109"/>
        <v>45.427614768976774</v>
      </c>
      <c r="CR58" s="4">
        <f t="shared" si="110"/>
        <v>43.370196835970141</v>
      </c>
      <c r="CS58" s="4">
        <f t="shared" si="111"/>
        <v>43.304774324585424</v>
      </c>
      <c r="CT58" s="4">
        <f t="shared" si="112"/>
        <v>43.419649916240786</v>
      </c>
      <c r="CU58" s="27">
        <f t="shared" si="113"/>
        <v>44.009093138301907</v>
      </c>
      <c r="CZ58" s="1">
        <v>0.81971814501173379</v>
      </c>
      <c r="DC58" s="1">
        <v>0.89958023447905333</v>
      </c>
      <c r="DD58" s="1">
        <v>0.97794205448801974</v>
      </c>
      <c r="DE58" s="1">
        <v>0.96994329659682066</v>
      </c>
      <c r="DF58" s="1">
        <v>0.97961117222579464</v>
      </c>
    </row>
    <row r="59" spans="1:110" x14ac:dyDescent="0.25">
      <c r="C59" s="37">
        <f t="shared" si="52"/>
        <v>242.07810519728685</v>
      </c>
      <c r="D59" s="38">
        <f t="shared" si="53"/>
        <v>700.00336418800339</v>
      </c>
      <c r="E59" s="38">
        <f t="shared" si="54"/>
        <v>618.87945157899014</v>
      </c>
      <c r="F59" s="38">
        <f t="shared" si="55"/>
        <v>1019.5484559019568</v>
      </c>
      <c r="G59" s="38">
        <f t="shared" si="56"/>
        <v>637.25007105294708</v>
      </c>
      <c r="H59" s="38">
        <f t="shared" si="57"/>
        <v>2674.9756276612861</v>
      </c>
      <c r="I59" s="38">
        <f t="shared" si="58"/>
        <v>4556.7584132472766</v>
      </c>
      <c r="J59" s="38">
        <f t="shared" si="59"/>
        <v>5697.6528131595442</v>
      </c>
      <c r="K59" s="38">
        <f t="shared" si="60"/>
        <v>2898.2843831554742</v>
      </c>
      <c r="L59" s="38">
        <f t="shared" si="61"/>
        <v>3165.1649511291439</v>
      </c>
      <c r="M59" s="38">
        <f t="shared" si="62"/>
        <v>1622.4553489387963</v>
      </c>
      <c r="N59" s="38">
        <f t="shared" si="63"/>
        <v>1163.6588733932508</v>
      </c>
      <c r="O59" s="38">
        <f t="shared" si="64"/>
        <v>885.81475242882277</v>
      </c>
      <c r="P59" s="38">
        <f t="shared" si="65"/>
        <v>1486.7044489325651</v>
      </c>
      <c r="Q59" s="38">
        <f t="shared" si="66"/>
        <v>894.54866311467958</v>
      </c>
      <c r="R59" s="38">
        <f t="shared" si="67"/>
        <v>1054.1250485634691</v>
      </c>
      <c r="S59" s="38">
        <f t="shared" si="68"/>
        <v>1452.9716695337922</v>
      </c>
      <c r="T59" s="38">
        <f t="shared" si="69"/>
        <v>714.83840859631641</v>
      </c>
      <c r="U59" s="38">
        <f t="shared" si="70"/>
        <v>745.82538151051767</v>
      </c>
      <c r="V59" s="39">
        <f t="shared" si="71"/>
        <v>1693.5741262249774</v>
      </c>
      <c r="AY59" s="37">
        <f t="shared" si="74"/>
        <v>591.76144863925902</v>
      </c>
      <c r="AZ59" s="38">
        <f t="shared" si="75"/>
        <v>1692.6071722238232</v>
      </c>
      <c r="BA59" s="38">
        <f t="shared" si="76"/>
        <v>1529.6258250815829</v>
      </c>
      <c r="BB59" s="38">
        <f t="shared" si="77"/>
        <v>1818.1980663144805</v>
      </c>
      <c r="BC59" s="38">
        <f t="shared" si="78"/>
        <v>4111.3601313058434</v>
      </c>
      <c r="BD59" s="38">
        <f t="shared" si="79"/>
        <v>8631.8571816636049</v>
      </c>
      <c r="BE59" s="38">
        <f t="shared" si="80"/>
        <v>9971.2029591400478</v>
      </c>
      <c r="BF59" s="38">
        <f t="shared" si="81"/>
        <v>9989.5437639589818</v>
      </c>
      <c r="BG59" s="38">
        <f t="shared" si="82"/>
        <v>9652.8301995895217</v>
      </c>
      <c r="BH59" s="38">
        <f t="shared" si="83"/>
        <v>8240.3973192561916</v>
      </c>
      <c r="BI59" s="38">
        <f t="shared" si="84"/>
        <v>5594.124543708328</v>
      </c>
      <c r="BJ59" s="38">
        <f t="shared" si="85"/>
        <v>1306.3750626449578</v>
      </c>
      <c r="BK59" s="38">
        <f t="shared" si="86"/>
        <v>712.61522815067281</v>
      </c>
      <c r="BL59" s="38">
        <f t="shared" si="87"/>
        <v>627.34572954246073</v>
      </c>
      <c r="BM59" s="38">
        <f t="shared" si="88"/>
        <v>160.27419138000738</v>
      </c>
      <c r="BN59" s="38">
        <f t="shared" si="89"/>
        <v>610.92850766305389</v>
      </c>
      <c r="BO59" s="38">
        <f t="shared" si="90"/>
        <v>2107.9592526515539</v>
      </c>
      <c r="BP59" s="38">
        <f t="shared" si="91"/>
        <v>46.102022415617419</v>
      </c>
      <c r="BQ59" s="38">
        <f t="shared" si="92"/>
        <v>48.183678865523696</v>
      </c>
      <c r="BR59" s="39">
        <f t="shared" si="93"/>
        <v>17.39551231137359</v>
      </c>
      <c r="CB59" s="26">
        <f t="shared" si="94"/>
        <v>42.9017612299589</v>
      </c>
      <c r="CC59" s="4">
        <f t="shared" si="95"/>
        <v>40.596183195369917</v>
      </c>
      <c r="CD59" s="4">
        <f t="shared" si="96"/>
        <v>40.214752143125075</v>
      </c>
      <c r="CE59" s="4">
        <f t="shared" si="97"/>
        <v>42.670901340513012</v>
      </c>
      <c r="CF59" s="4">
        <f t="shared" si="98"/>
        <v>47.475791773443916</v>
      </c>
      <c r="CG59" s="4">
        <f t="shared" si="99"/>
        <v>51.02090794424327</v>
      </c>
      <c r="CH59" s="4">
        <f t="shared" si="100"/>
        <v>53.207971035970409</v>
      </c>
      <c r="CI59" s="4">
        <f t="shared" si="101"/>
        <v>53.527452283789984</v>
      </c>
      <c r="CJ59" s="4">
        <f t="shared" si="102"/>
        <v>54.472632003292809</v>
      </c>
      <c r="CK59" s="4">
        <f t="shared" si="103"/>
        <v>52.386988124840457</v>
      </c>
      <c r="CL59" s="4">
        <f t="shared" si="104"/>
        <v>51.423674940707322</v>
      </c>
      <c r="CM59" s="4">
        <f t="shared" si="105"/>
        <v>43.976797876884135</v>
      </c>
      <c r="CN59" s="4">
        <f t="shared" si="106"/>
        <v>38.864466049485642</v>
      </c>
      <c r="CO59" s="4">
        <f t="shared" si="107"/>
        <v>37.099753208467831</v>
      </c>
      <c r="CP59" s="4">
        <f t="shared" si="108"/>
        <v>39.195292329625573</v>
      </c>
      <c r="CQ59" s="4">
        <f t="shared" si="109"/>
        <v>40.870562319304689</v>
      </c>
      <c r="CR59" s="4">
        <f t="shared" si="110"/>
        <v>39.763707070740963</v>
      </c>
      <c r="CS59" s="4">
        <f t="shared" si="111"/>
        <v>37.355622204736818</v>
      </c>
      <c r="CT59" s="4">
        <f t="shared" si="112"/>
        <v>36.1561058947524</v>
      </c>
      <c r="CU59" s="27">
        <f t="shared" si="113"/>
        <v>37.509514891561238</v>
      </c>
      <c r="CZ59" s="1">
        <v>0.81954899993067465</v>
      </c>
      <c r="DC59" s="1">
        <v>0.90091863079201939</v>
      </c>
      <c r="DD59" s="1">
        <v>0.97838696612669585</v>
      </c>
      <c r="DE59" s="1">
        <v>0.96914838083762755</v>
      </c>
      <c r="DF59" s="1">
        <v>0.97890418136594015</v>
      </c>
    </row>
    <row r="60" spans="1:110" x14ac:dyDescent="0.25">
      <c r="CB60" s="28">
        <f t="shared" si="94"/>
        <v>38.372853494392125</v>
      </c>
      <c r="CC60" s="29">
        <f t="shared" si="95"/>
        <v>36.318577398568507</v>
      </c>
      <c r="CD60" s="29">
        <f t="shared" si="96"/>
        <v>35.763422569799175</v>
      </c>
      <c r="CE60" s="29">
        <f t="shared" si="97"/>
        <v>35.661369304894762</v>
      </c>
      <c r="CF60" s="29">
        <f t="shared" si="98"/>
        <v>39.939673915888449</v>
      </c>
      <c r="CG60" s="29">
        <f t="shared" si="99"/>
        <v>46.376019755171882</v>
      </c>
      <c r="CH60" s="29">
        <f t="shared" si="100"/>
        <v>53.263046569448264</v>
      </c>
      <c r="CI60" s="29">
        <f t="shared" si="101"/>
        <v>55.276172743057728</v>
      </c>
      <c r="CJ60" s="29">
        <f t="shared" si="102"/>
        <v>55.838874946672121</v>
      </c>
      <c r="CK60" s="29">
        <f t="shared" si="103"/>
        <v>53.799327567165925</v>
      </c>
      <c r="CL60" s="29">
        <f t="shared" si="104"/>
        <v>53.076470752522049</v>
      </c>
      <c r="CM60" s="29">
        <f t="shared" si="105"/>
        <v>48.599014316176358</v>
      </c>
      <c r="CN60" s="29">
        <f t="shared" si="106"/>
        <v>44.847104693277196</v>
      </c>
      <c r="CO60" s="29">
        <f t="shared" si="107"/>
        <v>43.119346472963088</v>
      </c>
      <c r="CP60" s="29">
        <f t="shared" si="108"/>
        <v>40.22757487528883</v>
      </c>
      <c r="CQ60" s="29">
        <f t="shared" si="109"/>
        <v>38.458425038567235</v>
      </c>
      <c r="CR60" s="29">
        <f t="shared" si="110"/>
        <v>34.49307103546122</v>
      </c>
      <c r="CS60" s="29">
        <f t="shared" si="111"/>
        <v>32.512374691642691</v>
      </c>
      <c r="CT60" s="29">
        <f t="shared" si="112"/>
        <v>31.626029153795077</v>
      </c>
      <c r="CU60" s="30">
        <f t="shared" si="113"/>
        <v>33.606467026293743</v>
      </c>
      <c r="CZ60" s="1">
        <v>0.81936532118217043</v>
      </c>
      <c r="DC60" s="1">
        <v>0.90225208067855389</v>
      </c>
      <c r="DD60" s="1">
        <v>0.97881887089828823</v>
      </c>
      <c r="DE60" s="1">
        <v>0.96833266655606487</v>
      </c>
      <c r="DF60" s="1">
        <v>0.97817674007181632</v>
      </c>
    </row>
    <row r="61" spans="1:110" x14ac:dyDescent="0.25">
      <c r="CZ61" s="1">
        <v>0.81916684027102316</v>
      </c>
      <c r="DC61" s="1">
        <v>0.90358033165856577</v>
      </c>
      <c r="DD61" s="1">
        <v>0.97923745969978027</v>
      </c>
      <c r="DE61" s="1">
        <v>0.96749583332205558</v>
      </c>
      <c r="DF61" s="1">
        <v>0.97742852466456609</v>
      </c>
    </row>
    <row r="62" spans="1:110" x14ac:dyDescent="0.25">
      <c r="CZ62" s="1">
        <v>0.8189532849789799</v>
      </c>
      <c r="DC62" s="1">
        <v>0.90490312572496279</v>
      </c>
      <c r="DD62" s="1">
        <v>0.97964241827660081</v>
      </c>
      <c r="DE62" s="1">
        <v>0.96663755706472887</v>
      </c>
      <c r="DF62" s="1">
        <v>0.97665920765775061</v>
      </c>
    </row>
    <row r="63" spans="1:110" x14ac:dyDescent="0.25">
      <c r="CZ63" s="1">
        <v>0.81872437934625919</v>
      </c>
      <c r="DC63" s="1">
        <v>0.90622019925924036</v>
      </c>
      <c r="DD63" s="1">
        <v>0.98003342717272512</v>
      </c>
      <c r="DE63" s="1">
        <v>0.96575751007687161</v>
      </c>
      <c r="DF63" s="1">
        <v>0.97586845775757236</v>
      </c>
    </row>
    <row r="64" spans="1:110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Z64" s="1">
        <v>0.81847984365449156</v>
      </c>
      <c r="DC64" s="1">
        <v>0.90753128294697794</v>
      </c>
      <c r="DD64" s="1">
        <v>0.98041016168178341</v>
      </c>
      <c r="DE64" s="1">
        <v>0.96485536102173974</v>
      </c>
      <c r="DF64" s="1">
        <v>0.97505593986534322</v>
      </c>
    </row>
    <row r="65" spans="1:115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Z65" s="1">
        <v>0.81821939441125002</v>
      </c>
      <c r="DC65" s="1">
        <v>0.90883610169331253</v>
      </c>
      <c r="DD65" s="1">
        <v>0.98077229179936731</v>
      </c>
      <c r="DE65" s="1">
        <v>0.96393077494226831</v>
      </c>
      <c r="DF65" s="1">
        <v>0.97422131508231202</v>
      </c>
    </row>
    <row r="66" spans="1:115" ht="19.5" customHeight="1" x14ac:dyDescent="0.25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1">
        <v>0.81794274433615499</v>
      </c>
      <c r="DC66" s="1">
        <v>0.91013437453841717</v>
      </c>
      <c r="DD66" s="1">
        <v>0.98111948217651068</v>
      </c>
      <c r="DE66" s="1">
        <v>0.96298341327281134</v>
      </c>
      <c r="DF66" s="1">
        <v>0.97336424071695193</v>
      </c>
      <c r="DG66" s="8"/>
      <c r="DH66" s="8"/>
      <c r="DI66" s="8"/>
      <c r="DJ66" s="8"/>
      <c r="DK66" s="8"/>
    </row>
    <row r="67" spans="1:115" ht="15" customHeight="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8"/>
      <c r="CV67" s="8"/>
      <c r="CW67" s="8"/>
      <c r="CX67" s="8"/>
      <c r="CY67" s="8"/>
      <c r="CZ67" s="1">
        <v>0.81764960234873962</v>
      </c>
      <c r="DC67" s="1">
        <v>0.91142581457312277</v>
      </c>
      <c r="DD67" s="1">
        <v>0.9814513920745408</v>
      </c>
      <c r="DE67" s="1">
        <v>0.96201293385354092</v>
      </c>
      <c r="DF67" s="1">
        <v>0.97248437029481472</v>
      </c>
      <c r="DG67" s="8"/>
      <c r="DH67" s="8"/>
      <c r="DI67" s="8"/>
      <c r="DJ67" s="8"/>
      <c r="DK67" s="8"/>
    </row>
    <row r="68" spans="1:115" ht="15" customHeigh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8"/>
      <c r="CV68" s="8"/>
      <c r="CW68" s="8"/>
      <c r="CX68" s="8"/>
      <c r="CY68" s="8"/>
      <c r="CZ68" s="1">
        <v>0.81733967355808246</v>
      </c>
      <c r="DC68" s="1">
        <v>0.91271012885469172</v>
      </c>
      <c r="DD68" s="1">
        <v>0.98176767532134102</v>
      </c>
      <c r="DE68" s="1">
        <v>0.96101899094758125</v>
      </c>
      <c r="DF68" s="1">
        <v>0.97158135357107533</v>
      </c>
      <c r="DG68" s="8"/>
      <c r="DH68" s="8"/>
      <c r="DI68" s="8"/>
      <c r="DJ68" s="8"/>
      <c r="DK68" s="8"/>
    </row>
    <row r="69" spans="1:115" ht="15" customHeigh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8"/>
      <c r="CV69" s="8"/>
      <c r="CW69" s="8"/>
      <c r="CX69" s="8"/>
      <c r="CY69" s="8"/>
      <c r="CZ69" s="1">
        <v>0.81701265925436051</v>
      </c>
      <c r="DC69" s="1">
        <v>0.91398701832288798</v>
      </c>
      <c r="DD69" s="1">
        <v>0.9820679802691693</v>
      </c>
      <c r="DE69" s="1">
        <v>0.96000123526102898</v>
      </c>
      <c r="DF69" s="1">
        <v>0.97065483654587426</v>
      </c>
      <c r="DG69" s="8"/>
      <c r="DH69" s="8"/>
      <c r="DI69" s="8"/>
      <c r="DJ69" s="8"/>
      <c r="DK69" s="8"/>
    </row>
    <row r="70" spans="1:115" ht="15" customHeight="1" x14ac:dyDescent="0.25">
      <c r="A70" s="2"/>
      <c r="B70" s="2"/>
      <c r="C70" s="58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124"/>
      <c r="V70" s="124"/>
      <c r="W70" s="124"/>
      <c r="X70" s="58"/>
      <c r="Y70" s="2"/>
      <c r="Z70" s="2"/>
      <c r="AA70" s="58"/>
      <c r="AB70" s="124"/>
      <c r="AC70" s="124"/>
      <c r="AD70" s="124"/>
      <c r="AE70" s="124"/>
      <c r="AF70" s="124"/>
      <c r="AG70" s="124"/>
      <c r="AH70" s="124"/>
      <c r="AI70" s="124"/>
      <c r="AJ70" s="124"/>
      <c r="AK70" s="124"/>
      <c r="AL70" s="124"/>
      <c r="AM70" s="124"/>
      <c r="AN70" s="124"/>
      <c r="AO70" s="124"/>
      <c r="AP70" s="124"/>
      <c r="AQ70" s="124"/>
      <c r="AR70" s="124"/>
      <c r="AS70" s="124"/>
      <c r="AT70" s="124"/>
      <c r="AU70" s="124"/>
      <c r="AV70" s="58"/>
      <c r="AW70" s="2"/>
      <c r="AX70" s="2"/>
      <c r="AY70" s="58"/>
      <c r="AZ70" s="124"/>
      <c r="BA70" s="124"/>
      <c r="BB70" s="124"/>
      <c r="BC70" s="124"/>
      <c r="BD70" s="124"/>
      <c r="BE70" s="124"/>
      <c r="BF70" s="124"/>
      <c r="BG70" s="124"/>
      <c r="BH70" s="124"/>
      <c r="BI70" s="124"/>
      <c r="BJ70" s="124"/>
      <c r="BK70" s="124"/>
      <c r="BL70" s="124"/>
      <c r="BM70" s="124"/>
      <c r="BN70" s="124"/>
      <c r="BO70" s="124"/>
      <c r="BP70" s="124"/>
      <c r="BQ70" s="124"/>
      <c r="BR70" s="124"/>
      <c r="BS70" s="124"/>
      <c r="BT70" s="58"/>
      <c r="BU70" s="2"/>
      <c r="BV70" s="2"/>
      <c r="BW70" s="58"/>
      <c r="BX70" s="124"/>
      <c r="BY70" s="124"/>
      <c r="BZ70" s="124"/>
      <c r="CA70" s="124"/>
      <c r="CB70" s="124"/>
      <c r="CC70" s="124"/>
      <c r="CD70" s="124"/>
      <c r="CE70" s="124"/>
      <c r="CF70" s="124"/>
      <c r="CG70" s="124"/>
      <c r="CH70" s="124"/>
      <c r="CI70" s="124"/>
      <c r="CJ70" s="124"/>
      <c r="CK70" s="124"/>
      <c r="CL70" s="124"/>
      <c r="CM70" s="124"/>
      <c r="CN70" s="124"/>
      <c r="CO70" s="124"/>
      <c r="CP70" s="124"/>
      <c r="CQ70" s="124"/>
      <c r="CR70" s="58"/>
      <c r="CS70" s="2"/>
      <c r="CT70" s="2"/>
      <c r="CU70" s="8"/>
      <c r="CV70" s="8"/>
      <c r="CW70" s="8"/>
      <c r="CX70" s="8"/>
      <c r="CY70" s="8"/>
      <c r="CZ70" s="1">
        <v>0.81666825690239153</v>
      </c>
      <c r="DC70" s="1">
        <v>0.91525617771635415</v>
      </c>
      <c r="DD70" s="1">
        <v>0.9823519497540899</v>
      </c>
      <c r="DE70" s="1">
        <v>0.95895931396593936</v>
      </c>
      <c r="DF70" s="1">
        <v>0.96970446148257183</v>
      </c>
      <c r="DG70" s="8"/>
      <c r="DH70" s="8"/>
      <c r="DI70" s="8"/>
      <c r="DJ70" s="8"/>
      <c r="DK70" s="8"/>
    </row>
    <row r="71" spans="1:115" ht="15" customHeight="1" x14ac:dyDescent="0.25">
      <c r="A71" s="2"/>
      <c r="B71" s="2"/>
      <c r="C71" s="2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2"/>
      <c r="Y71" s="2"/>
      <c r="Z71" s="2"/>
      <c r="AA71" s="2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2"/>
      <c r="AW71" s="2"/>
      <c r="AX71" s="2"/>
      <c r="AY71" s="2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2"/>
      <c r="BU71" s="2"/>
      <c r="BV71" s="2"/>
      <c r="BW71" s="2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2"/>
      <c r="CS71" s="2"/>
      <c r="CT71" s="2"/>
      <c r="CU71" s="8"/>
      <c r="CV71" s="8"/>
      <c r="CW71" s="8"/>
      <c r="CX71" s="8"/>
      <c r="CY71" s="8"/>
      <c r="CZ71" s="1">
        <v>0.81630616013727963</v>
      </c>
      <c r="DC71" s="1">
        <v>0.91651729548947891</v>
      </c>
      <c r="DD71" s="1">
        <v>0.98261922105720545</v>
      </c>
      <c r="DE71" s="1">
        <v>0.95789287072645579</v>
      </c>
      <c r="DF71" s="1">
        <v>0.9687298669290787</v>
      </c>
      <c r="DG71" s="8"/>
      <c r="DH71" s="8"/>
      <c r="DI71" s="8"/>
      <c r="DJ71" s="8"/>
      <c r="DK71" s="8"/>
    </row>
    <row r="72" spans="1:115" ht="15" customHeight="1" x14ac:dyDescent="0.25">
      <c r="A72" s="2"/>
      <c r="B72" s="2"/>
      <c r="C72" s="2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2"/>
      <c r="Y72" s="2"/>
      <c r="Z72" s="2"/>
      <c r="AA72" s="2"/>
      <c r="AB72" s="60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2"/>
      <c r="AW72" s="2"/>
      <c r="AX72" s="2"/>
      <c r="AY72" s="2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  <c r="BL72" s="60"/>
      <c r="BM72" s="60"/>
      <c r="BN72" s="60"/>
      <c r="BO72" s="60"/>
      <c r="BP72" s="60"/>
      <c r="BQ72" s="60"/>
      <c r="BR72" s="60"/>
      <c r="BS72" s="60"/>
      <c r="BT72" s="2"/>
      <c r="BU72" s="2"/>
      <c r="BV72" s="2"/>
      <c r="BW72" s="2"/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2"/>
      <c r="CS72" s="2"/>
      <c r="CT72" s="2"/>
      <c r="CU72" s="8"/>
      <c r="CV72" s="8"/>
      <c r="CW72" s="8"/>
      <c r="CX72" s="8"/>
      <c r="CY72" s="8"/>
      <c r="CZ72" s="1">
        <v>0.81592605876225055</v>
      </c>
      <c r="DC72" s="1">
        <v>0.91777005372974352</v>
      </c>
      <c r="DD72" s="1">
        <v>0.98286942586772341</v>
      </c>
      <c r="DE72" s="1">
        <v>0.95680154572813125</v>
      </c>
      <c r="DF72" s="1">
        <v>0.96773068774230386</v>
      </c>
      <c r="DG72" s="8"/>
      <c r="DH72" s="8"/>
      <c r="DI72" s="8"/>
      <c r="DJ72" s="8"/>
      <c r="DK72" s="8"/>
    </row>
    <row r="73" spans="1:115" ht="15" customHeight="1" x14ac:dyDescent="0.25">
      <c r="A73" s="2"/>
      <c r="B73" s="2"/>
      <c r="C73" s="2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2"/>
      <c r="Y73" s="2"/>
      <c r="Z73" s="2"/>
      <c r="AA73" s="2"/>
      <c r="AB73" s="60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2"/>
      <c r="AW73" s="2"/>
      <c r="AX73" s="2"/>
      <c r="AY73" s="2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2"/>
      <c r="BU73" s="2"/>
      <c r="BV73" s="2"/>
      <c r="BW73" s="2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2"/>
      <c r="CS73" s="2"/>
      <c r="CT73" s="2"/>
      <c r="CU73" s="8"/>
      <c r="CV73" s="8"/>
      <c r="CW73" s="8"/>
      <c r="CX73" s="8"/>
      <c r="CY73" s="8"/>
      <c r="CZ73" s="1">
        <v>0.81552763874880096</v>
      </c>
      <c r="DC73" s="1">
        <v>0.91901412807572647</v>
      </c>
      <c r="DD73" s="1">
        <v>0.98310219024805001</v>
      </c>
      <c r="DE73" s="1">
        <v>0.95568497571065103</v>
      </c>
      <c r="DF73" s="1">
        <v>0.96670655511594072</v>
      </c>
      <c r="DG73" s="8"/>
      <c r="DH73" s="8"/>
      <c r="DI73" s="8"/>
      <c r="DJ73" s="8"/>
      <c r="DK73" s="8"/>
    </row>
    <row r="74" spans="1:115" ht="15" customHeight="1" x14ac:dyDescent="0.25">
      <c r="A74" s="2"/>
      <c r="B74" s="2"/>
      <c r="C74" s="2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2"/>
      <c r="Y74" s="2"/>
      <c r="Z74" s="2"/>
      <c r="AA74" s="2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2"/>
      <c r="AW74" s="2"/>
      <c r="AX74" s="2"/>
      <c r="AY74" s="2"/>
      <c r="AZ74" s="60"/>
      <c r="BA74" s="60"/>
      <c r="BB74" s="60"/>
      <c r="BC74" s="60"/>
      <c r="BD74" s="60"/>
      <c r="BE74" s="60"/>
      <c r="BF74" s="60"/>
      <c r="BG74" s="60"/>
      <c r="BH74" s="60"/>
      <c r="BI74" s="60"/>
      <c r="BJ74" s="60"/>
      <c r="BK74" s="60"/>
      <c r="BL74" s="60"/>
      <c r="BM74" s="60"/>
      <c r="BN74" s="60"/>
      <c r="BO74" s="60"/>
      <c r="BP74" s="60"/>
      <c r="BQ74" s="60"/>
      <c r="BR74" s="60"/>
      <c r="BS74" s="60"/>
      <c r="BT74" s="2"/>
      <c r="BU74" s="2"/>
      <c r="BV74" s="2"/>
      <c r="BW74" s="2"/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2"/>
      <c r="CS74" s="2"/>
      <c r="CT74" s="2"/>
      <c r="CU74" s="8"/>
      <c r="CV74" s="8"/>
      <c r="CW74" s="8"/>
      <c r="CX74" s="8"/>
      <c r="CY74" s="8"/>
      <c r="CZ74" s="1">
        <v>0.81511058223925936</v>
      </c>
      <c r="DC74" s="1">
        <v>0.92024918763583752</v>
      </c>
      <c r="DD74" s="1">
        <v>0.98331713460099246</v>
      </c>
      <c r="DE74" s="1">
        <v>0.95454279400402031</v>
      </c>
      <c r="DF74" s="1">
        <v>0.96565709661167054</v>
      </c>
      <c r="DG74" s="8"/>
      <c r="DH74" s="8"/>
      <c r="DI74" s="8"/>
      <c r="DJ74" s="8"/>
      <c r="DK74" s="8"/>
    </row>
    <row r="75" spans="1:115" ht="15" customHeight="1" x14ac:dyDescent="0.25">
      <c r="A75" s="2"/>
      <c r="B75" s="2"/>
      <c r="C75" s="2"/>
      <c r="D75" s="60"/>
      <c r="E75" s="60"/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2"/>
      <c r="Y75" s="2"/>
      <c r="Z75" s="2"/>
      <c r="AA75" s="2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2"/>
      <c r="AW75" s="2"/>
      <c r="AX75" s="2"/>
      <c r="AY75" s="2"/>
      <c r="AZ75" s="60"/>
      <c r="BA75" s="60"/>
      <c r="BB75" s="60"/>
      <c r="BC75" s="60"/>
      <c r="BD75" s="60"/>
      <c r="BE75" s="60"/>
      <c r="BF75" s="60"/>
      <c r="BG75" s="60"/>
      <c r="BH75" s="60"/>
      <c r="BI75" s="60"/>
      <c r="BJ75" s="60"/>
      <c r="BK75" s="60"/>
      <c r="BL75" s="60"/>
      <c r="BM75" s="60"/>
      <c r="BN75" s="60"/>
      <c r="BO75" s="60"/>
      <c r="BP75" s="60"/>
      <c r="BQ75" s="60"/>
      <c r="BR75" s="60"/>
      <c r="BS75" s="60"/>
      <c r="BT75" s="2"/>
      <c r="BU75" s="2"/>
      <c r="BV75" s="2"/>
      <c r="BW75" s="2"/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2"/>
      <c r="CS75" s="2"/>
      <c r="CT75" s="2"/>
      <c r="CU75" s="8"/>
      <c r="CV75" s="8"/>
      <c r="CW75" s="8"/>
      <c r="CX75" s="8"/>
      <c r="CY75" s="8"/>
      <c r="CZ75" s="1">
        <v>0.81467456755187817</v>
      </c>
      <c r="DC75" s="1">
        <v>0.92147489490787182</v>
      </c>
      <c r="DD75" s="1">
        <v>0.98351387363921683</v>
      </c>
      <c r="DE75" s="1">
        <v>0.95337463056840066</v>
      </c>
      <c r="DF75" s="1">
        <v>0.96458193619392407</v>
      </c>
      <c r="DG75" s="8"/>
      <c r="DH75" s="8"/>
      <c r="DI75" s="8"/>
      <c r="DJ75" s="8"/>
      <c r="DK75" s="8"/>
    </row>
    <row r="76" spans="1:115" ht="15" customHeight="1" x14ac:dyDescent="0.25">
      <c r="A76" s="2"/>
      <c r="B76" s="2"/>
      <c r="C76" s="2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2"/>
      <c r="Y76" s="2"/>
      <c r="Z76" s="2"/>
      <c r="AA76" s="2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2"/>
      <c r="AW76" s="2"/>
      <c r="AX76" s="2"/>
      <c r="AY76" s="2"/>
      <c r="AZ76" s="60"/>
      <c r="BA76" s="60"/>
      <c r="BB76" s="60"/>
      <c r="BC76" s="60"/>
      <c r="BD76" s="60"/>
      <c r="BE76" s="60"/>
      <c r="BF76" s="60"/>
      <c r="BG76" s="60"/>
      <c r="BH76" s="60"/>
      <c r="BI76" s="60"/>
      <c r="BJ76" s="60"/>
      <c r="BK76" s="60"/>
      <c r="BL76" s="60"/>
      <c r="BM76" s="60"/>
      <c r="BN76" s="60"/>
      <c r="BO76" s="60"/>
      <c r="BP76" s="60"/>
      <c r="BQ76" s="60"/>
      <c r="BR76" s="60"/>
      <c r="BS76" s="60"/>
      <c r="BT76" s="2"/>
      <c r="BU76" s="2"/>
      <c r="BV76" s="2"/>
      <c r="BW76" s="2"/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2"/>
      <c r="CS76" s="2"/>
      <c r="CT76" s="2"/>
      <c r="CU76" s="8"/>
      <c r="CV76" s="8"/>
      <c r="CW76" s="8"/>
      <c r="CX76" s="8"/>
      <c r="CY76" s="8"/>
      <c r="CZ76" s="1">
        <v>0.81421926918856502</v>
      </c>
      <c r="DC76" s="1">
        <v>0.92269090569952672</v>
      </c>
      <c r="DD76" s="1">
        <v>0.98369201635708681</v>
      </c>
      <c r="DE76" s="1">
        <v>0.95218011203769548</v>
      </c>
      <c r="DF76" s="1">
        <v>0.96348069426835758</v>
      </c>
      <c r="DG76" s="8"/>
      <c r="DH76" s="8"/>
      <c r="DI76" s="8"/>
      <c r="DJ76" s="8"/>
      <c r="DK76" s="8"/>
    </row>
    <row r="77" spans="1:115" ht="15" customHeight="1" x14ac:dyDescent="0.25">
      <c r="A77" s="2"/>
      <c r="B77" s="2"/>
      <c r="C77" s="2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2"/>
      <c r="Y77" s="2"/>
      <c r="Z77" s="2"/>
      <c r="AA77" s="2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2"/>
      <c r="AW77" s="2"/>
      <c r="AX77" s="2"/>
      <c r="AY77" s="2"/>
      <c r="AZ77" s="60"/>
      <c r="BA77" s="60"/>
      <c r="BB77" s="60"/>
      <c r="BC77" s="60"/>
      <c r="BD77" s="60"/>
      <c r="BE77" s="60"/>
      <c r="BF77" s="60"/>
      <c r="BG77" s="60"/>
      <c r="BH77" s="60"/>
      <c r="BI77" s="60"/>
      <c r="BJ77" s="60"/>
      <c r="BK77" s="60"/>
      <c r="BL77" s="60"/>
      <c r="BM77" s="60"/>
      <c r="BN77" s="60"/>
      <c r="BO77" s="60"/>
      <c r="BP77" s="60"/>
      <c r="BQ77" s="60"/>
      <c r="BR77" s="60"/>
      <c r="BS77" s="60"/>
      <c r="BT77" s="2"/>
      <c r="BU77" s="2"/>
      <c r="BV77" s="2"/>
      <c r="BW77" s="2"/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2"/>
      <c r="CS77" s="2"/>
      <c r="CT77" s="2"/>
      <c r="CU77" s="8"/>
      <c r="CV77" s="8"/>
      <c r="CW77" s="8"/>
      <c r="CX77" s="8"/>
      <c r="CY77" s="8"/>
      <c r="CZ77" s="1">
        <v>0.8137443578453748</v>
      </c>
      <c r="DC77" s="1">
        <v>0.92389686904997503</v>
      </c>
      <c r="DD77" s="1">
        <v>0.98385116600503031</v>
      </c>
      <c r="DE77" s="1">
        <v>0.95095886176703914</v>
      </c>
      <c r="DF77" s="1">
        <v>0.96235298772415634</v>
      </c>
      <c r="DG77" s="8"/>
      <c r="DH77" s="8"/>
      <c r="DI77" s="8"/>
      <c r="DJ77" s="8"/>
      <c r="DK77" s="8"/>
    </row>
    <row r="78" spans="1:115" ht="15" customHeight="1" x14ac:dyDescent="0.25">
      <c r="A78" s="2"/>
      <c r="B78" s="2"/>
      <c r="C78" s="2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2"/>
      <c r="Y78" s="2"/>
      <c r="Z78" s="2"/>
      <c r="AA78" s="2"/>
      <c r="AB78" s="60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2"/>
      <c r="AW78" s="2"/>
      <c r="AX78" s="2"/>
      <c r="AY78" s="2"/>
      <c r="AZ78" s="60"/>
      <c r="BA78" s="60"/>
      <c r="BB78" s="60"/>
      <c r="BC78" s="60"/>
      <c r="BD78" s="60"/>
      <c r="BE78" s="60"/>
      <c r="BF78" s="60"/>
      <c r="BG78" s="60"/>
      <c r="BH78" s="60"/>
      <c r="BI78" s="60"/>
      <c r="BJ78" s="60"/>
      <c r="BK78" s="60"/>
      <c r="BL78" s="60"/>
      <c r="BM78" s="60"/>
      <c r="BN78" s="60"/>
      <c r="BO78" s="60"/>
      <c r="BP78" s="60"/>
      <c r="BQ78" s="60"/>
      <c r="BR78" s="60"/>
      <c r="BS78" s="60"/>
      <c r="BT78" s="2"/>
      <c r="BU78" s="2"/>
      <c r="BV78" s="2"/>
      <c r="BW78" s="2"/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2"/>
      <c r="CS78" s="2"/>
      <c r="CT78" s="2"/>
      <c r="CU78" s="8"/>
      <c r="CV78" s="8"/>
      <c r="CW78" s="8"/>
      <c r="CX78" s="8"/>
      <c r="CY78" s="8"/>
      <c r="CZ78" s="1">
        <v>0.81324950042589816</v>
      </c>
      <c r="DC78" s="1">
        <v>0.92509242715262918</v>
      </c>
      <c r="DD78" s="1">
        <v>0.98399092006659017</v>
      </c>
      <c r="DE78" s="1">
        <v>0.94971049988433864</v>
      </c>
      <c r="DF78" s="1">
        <v>0.9611984299803612</v>
      </c>
      <c r="DG78" s="8"/>
      <c r="DH78" s="8"/>
      <c r="DI78" s="8"/>
      <c r="DJ78" s="8"/>
      <c r="DK78" s="8"/>
    </row>
    <row r="79" spans="1:115" ht="15" customHeight="1" x14ac:dyDescent="0.25">
      <c r="A79" s="2"/>
      <c r="B79" s="2"/>
      <c r="C79" s="2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2"/>
      <c r="Y79" s="2"/>
      <c r="Z79" s="2"/>
      <c r="AA79" s="2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2"/>
      <c r="AW79" s="2"/>
      <c r="AX79" s="2"/>
      <c r="AY79" s="2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60"/>
      <c r="BP79" s="60"/>
      <c r="BQ79" s="60"/>
      <c r="BR79" s="60"/>
      <c r="BS79" s="60"/>
      <c r="BT79" s="2"/>
      <c r="BU79" s="2"/>
      <c r="BV79" s="2"/>
      <c r="BW79" s="2"/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2"/>
      <c r="CS79" s="2"/>
      <c r="CT79" s="2"/>
      <c r="CU79" s="8"/>
      <c r="CV79" s="8"/>
      <c r="CW79" s="8"/>
      <c r="CX79" s="8"/>
      <c r="CY79" s="8"/>
      <c r="CZ79" s="1">
        <v>0.81273436005763777</v>
      </c>
      <c r="DC79" s="1">
        <v>0.92627721527922058</v>
      </c>
      <c r="DD79" s="1">
        <v>0.98411087023825983</v>
      </c>
      <c r="DE79" s="1">
        <v>0.94843464334600713</v>
      </c>
      <c r="DF79" s="1">
        <v>0.96001663103628254</v>
      </c>
      <c r="DG79" s="8"/>
      <c r="DH79" s="8"/>
      <c r="DI79" s="8"/>
      <c r="DJ79" s="8"/>
      <c r="DK79" s="8"/>
    </row>
    <row r="80" spans="1:115" ht="15" customHeight="1" x14ac:dyDescent="0.25">
      <c r="A80" s="2"/>
      <c r="B80" s="2"/>
      <c r="C80" s="2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2"/>
      <c r="Y80" s="2"/>
      <c r="Z80" s="2"/>
      <c r="AA80" s="2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2"/>
      <c r="AW80" s="2"/>
      <c r="AX80" s="2"/>
      <c r="AY80" s="2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2"/>
      <c r="BU80" s="2"/>
      <c r="BV80" s="2"/>
      <c r="BW80" s="2"/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2"/>
      <c r="CS80" s="2"/>
      <c r="CT80" s="2"/>
      <c r="CU80" s="8"/>
      <c r="CV80" s="8"/>
      <c r="CW80" s="8"/>
      <c r="CX80" s="8"/>
      <c r="CY80" s="8"/>
      <c r="CZ80" s="1">
        <v>0.81219859611154344</v>
      </c>
      <c r="DC80" s="1">
        <v>0.92745086170530722</v>
      </c>
      <c r="DD80" s="1">
        <v>0.98421060241230929</v>
      </c>
      <c r="DE80" s="1">
        <v>0.94713090599703187</v>
      </c>
      <c r="DF80" s="1">
        <v>0.95880719752625343</v>
      </c>
      <c r="DG80" s="8"/>
      <c r="DH80" s="8"/>
      <c r="DI80" s="8"/>
      <c r="DJ80" s="8"/>
      <c r="DK80" s="8"/>
    </row>
    <row r="81" spans="1:115" ht="15" customHeight="1" x14ac:dyDescent="0.25">
      <c r="A81" s="2"/>
      <c r="B81" s="2"/>
      <c r="C81" s="58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58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58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58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8"/>
      <c r="CV81" s="8"/>
      <c r="CW81" s="8"/>
      <c r="CX81" s="8"/>
      <c r="CY81" s="8"/>
      <c r="CZ81" s="1">
        <v>0.81164186422479812</v>
      </c>
      <c r="DC81" s="1">
        <v>0.92861298763738775</v>
      </c>
      <c r="DD81" s="1">
        <v>0.9842896966627348</v>
      </c>
      <c r="DE81" s="1">
        <v>0.94579889863553102</v>
      </c>
      <c r="DF81" s="1">
        <v>0.95756973277877155</v>
      </c>
      <c r="DG81" s="8"/>
      <c r="DH81" s="8"/>
      <c r="DI81" s="8"/>
      <c r="DJ81" s="8"/>
      <c r="DK81" s="8"/>
    </row>
    <row r="82" spans="1:115" ht="15" customHeight="1" x14ac:dyDescent="0.25">
      <c r="A82" s="2"/>
      <c r="B82" s="2"/>
      <c r="C82" s="58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58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58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58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8"/>
      <c r="CV82" s="8"/>
      <c r="CW82" s="8"/>
      <c r="CX82" s="8"/>
      <c r="CY82" s="8"/>
      <c r="CZ82" s="1">
        <v>0.81106381632700963</v>
      </c>
      <c r="DC82" s="1">
        <v>0.92976320714172078</v>
      </c>
      <c r="DD82" s="1">
        <v>0.98434772723448649</v>
      </c>
      <c r="DE82" s="1">
        <v>0.94443822908196062</v>
      </c>
      <c r="DF82" s="1">
        <v>0.95630383688028953</v>
      </c>
      <c r="DG82" s="8"/>
      <c r="DH82" s="8"/>
      <c r="DI82" s="8"/>
      <c r="DJ82" s="8"/>
      <c r="DK82" s="8"/>
    </row>
    <row r="83" spans="1:115" ht="15" customHeigh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8"/>
      <c r="CV83" s="8"/>
      <c r="CW83" s="8"/>
      <c r="CX83" s="8"/>
      <c r="CY83" s="8"/>
      <c r="CZ83" s="1">
        <v>0.810464100669953</v>
      </c>
      <c r="DC83" s="1">
        <v>0.93090112707502781</v>
      </c>
      <c r="DD83" s="1">
        <v>0.98438426253615707</v>
      </c>
      <c r="DE83" s="1">
        <v>0.94304850225311765</v>
      </c>
      <c r="DF83" s="1">
        <v>0.95500910674371775</v>
      </c>
      <c r="DG83" s="8"/>
      <c r="DH83" s="8"/>
      <c r="DI83" s="8"/>
      <c r="DJ83" s="8"/>
      <c r="DK83" s="8"/>
    </row>
    <row r="84" spans="1:115" ht="15" customHeight="1" x14ac:dyDescent="0.25">
      <c r="A84" s="2"/>
      <c r="B84" s="2"/>
      <c r="C84" s="2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2"/>
      <c r="Z84" s="2"/>
      <c r="AA84" s="2"/>
      <c r="AB84" s="119"/>
      <c r="AC84" s="119"/>
      <c r="AD84" s="119"/>
      <c r="AE84" s="119"/>
      <c r="AF84" s="119"/>
      <c r="AG84" s="119"/>
      <c r="AH84" s="119"/>
      <c r="AI84" s="119"/>
      <c r="AJ84" s="119"/>
      <c r="AK84" s="119"/>
      <c r="AL84" s="119"/>
      <c r="AM84" s="119"/>
      <c r="AN84" s="119"/>
      <c r="AO84" s="119"/>
      <c r="AP84" s="119"/>
      <c r="AQ84" s="119"/>
      <c r="AR84" s="119"/>
      <c r="AS84" s="119"/>
      <c r="AT84" s="119"/>
      <c r="AU84" s="119"/>
      <c r="AV84" s="119"/>
      <c r="AW84" s="2"/>
      <c r="AX84" s="2"/>
      <c r="AY84" s="2"/>
      <c r="AZ84" s="119"/>
      <c r="BA84" s="119"/>
      <c r="BB84" s="119"/>
      <c r="BC84" s="119"/>
      <c r="BD84" s="119"/>
      <c r="BE84" s="119"/>
      <c r="BF84" s="119"/>
      <c r="BG84" s="119"/>
      <c r="BH84" s="119"/>
      <c r="BI84" s="119"/>
      <c r="BJ84" s="119"/>
      <c r="BK84" s="119"/>
      <c r="BL84" s="119"/>
      <c r="BM84" s="119"/>
      <c r="BN84" s="119"/>
      <c r="BO84" s="119"/>
      <c r="BP84" s="119"/>
      <c r="BQ84" s="119"/>
      <c r="BR84" s="119"/>
      <c r="BS84" s="119"/>
      <c r="BT84" s="119"/>
      <c r="BU84" s="2"/>
      <c r="BV84" s="2"/>
      <c r="BW84" s="2"/>
      <c r="BX84" s="119"/>
      <c r="BY84" s="119"/>
      <c r="BZ84" s="119"/>
      <c r="CA84" s="119"/>
      <c r="CB84" s="119"/>
      <c r="CC84" s="119"/>
      <c r="CD84" s="119"/>
      <c r="CE84" s="119"/>
      <c r="CF84" s="119"/>
      <c r="CG84" s="119"/>
      <c r="CH84" s="119"/>
      <c r="CI84" s="119"/>
      <c r="CJ84" s="119"/>
      <c r="CK84" s="119"/>
      <c r="CL84" s="119"/>
      <c r="CM84" s="119"/>
      <c r="CN84" s="119"/>
      <c r="CO84" s="119"/>
      <c r="CP84" s="119"/>
      <c r="CQ84" s="119"/>
      <c r="CR84" s="119"/>
      <c r="CS84" s="2"/>
      <c r="CT84" s="2"/>
      <c r="CU84" s="8"/>
      <c r="CV84" s="8"/>
      <c r="CW84" s="8"/>
      <c r="CX84" s="8"/>
      <c r="CY84" s="8"/>
      <c r="CZ84" s="1">
        <v>0.80984236186098146</v>
      </c>
      <c r="DC84" s="1">
        <v>0.93202634701721698</v>
      </c>
      <c r="DD84" s="1">
        <v>0.98439886513629238</v>
      </c>
      <c r="DE84" s="1">
        <v>0.94162932024110779</v>
      </c>
      <c r="DF84" s="1">
        <v>0.95368513618187745</v>
      </c>
      <c r="DG84" s="8"/>
      <c r="DH84" s="8"/>
      <c r="DI84" s="8"/>
      <c r="DJ84" s="8"/>
      <c r="DK84" s="8"/>
    </row>
    <row r="85" spans="1:115" ht="15" customHeight="1" x14ac:dyDescent="0.25">
      <c r="A85" s="2"/>
      <c r="B85" s="2"/>
      <c r="C85" s="2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2"/>
      <c r="Z85" s="2"/>
      <c r="AA85" s="2"/>
      <c r="AB85" s="119"/>
      <c r="AC85" s="119"/>
      <c r="AD85" s="119"/>
      <c r="AE85" s="119"/>
      <c r="AF85" s="119"/>
      <c r="AG85" s="119"/>
      <c r="AH85" s="119"/>
      <c r="AI85" s="119"/>
      <c r="AJ85" s="119"/>
      <c r="AK85" s="119"/>
      <c r="AL85" s="119"/>
      <c r="AM85" s="119"/>
      <c r="AN85" s="119"/>
      <c r="AO85" s="119"/>
      <c r="AP85" s="119"/>
      <c r="AQ85" s="119"/>
      <c r="AR85" s="119"/>
      <c r="AS85" s="119"/>
      <c r="AT85" s="119"/>
      <c r="AU85" s="119"/>
      <c r="AV85" s="119"/>
      <c r="AW85" s="2"/>
      <c r="AX85" s="2"/>
      <c r="AY85" s="2"/>
      <c r="AZ85" s="119"/>
      <c r="BA85" s="119"/>
      <c r="BB85" s="119"/>
      <c r="BC85" s="119"/>
      <c r="BD85" s="119"/>
      <c r="BE85" s="119"/>
      <c r="BF85" s="119"/>
      <c r="BG85" s="119"/>
      <c r="BH85" s="119"/>
      <c r="BI85" s="119"/>
      <c r="BJ85" s="119"/>
      <c r="BK85" s="119"/>
      <c r="BL85" s="119"/>
      <c r="BM85" s="119"/>
      <c r="BN85" s="119"/>
      <c r="BO85" s="119"/>
      <c r="BP85" s="119"/>
      <c r="BQ85" s="119"/>
      <c r="BR85" s="119"/>
      <c r="BS85" s="119"/>
      <c r="BT85" s="119"/>
      <c r="BU85" s="2"/>
      <c r="BV85" s="2"/>
      <c r="BW85" s="2"/>
      <c r="BX85" s="119"/>
      <c r="BY85" s="119"/>
      <c r="BZ85" s="119"/>
      <c r="CA85" s="119"/>
      <c r="CB85" s="119"/>
      <c r="CC85" s="119"/>
      <c r="CD85" s="119"/>
      <c r="CE85" s="119"/>
      <c r="CF85" s="119"/>
      <c r="CG85" s="119"/>
      <c r="CH85" s="119"/>
      <c r="CI85" s="119"/>
      <c r="CJ85" s="119"/>
      <c r="CK85" s="119"/>
      <c r="CL85" s="119"/>
      <c r="CM85" s="119"/>
      <c r="CN85" s="119"/>
      <c r="CO85" s="119"/>
      <c r="CP85" s="119"/>
      <c r="CQ85" s="119"/>
      <c r="CR85" s="119"/>
      <c r="CS85" s="2"/>
      <c r="CT85" s="2"/>
      <c r="CU85" s="8"/>
      <c r="CV85" s="8"/>
      <c r="CW85" s="8"/>
      <c r="CX85" s="8"/>
      <c r="CY85" s="8"/>
      <c r="CZ85" s="1">
        <v>0.80919824090025705</v>
      </c>
      <c r="DC85" s="1">
        <v>0.93313845920630434</v>
      </c>
      <c r="DD85" s="1">
        <v>0.98439109176350625</v>
      </c>
      <c r="DE85" s="1">
        <v>0.94018028239742701</v>
      </c>
      <c r="DF85" s="1">
        <v>0.95233151598600496</v>
      </c>
      <c r="DG85" s="8"/>
      <c r="DH85" s="8"/>
      <c r="DI85" s="8"/>
      <c r="DJ85" s="8"/>
      <c r="DK85" s="8"/>
    </row>
    <row r="86" spans="1:115" ht="15" customHeight="1" x14ac:dyDescent="0.25">
      <c r="A86" s="2"/>
      <c r="B86" s="2"/>
      <c r="C86" s="2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  <c r="W86" s="119"/>
      <c r="X86" s="119"/>
      <c r="Y86" s="2"/>
      <c r="Z86" s="2"/>
      <c r="AA86" s="2"/>
      <c r="AB86" s="119"/>
      <c r="AC86" s="119"/>
      <c r="AD86" s="119"/>
      <c r="AE86" s="119"/>
      <c r="AF86" s="119"/>
      <c r="AG86" s="119"/>
      <c r="AH86" s="119"/>
      <c r="AI86" s="119"/>
      <c r="AJ86" s="119"/>
      <c r="AK86" s="119"/>
      <c r="AL86" s="119"/>
      <c r="AM86" s="119"/>
      <c r="AN86" s="119"/>
      <c r="AO86" s="119"/>
      <c r="AP86" s="119"/>
      <c r="AQ86" s="119"/>
      <c r="AR86" s="119"/>
      <c r="AS86" s="119"/>
      <c r="AT86" s="119"/>
      <c r="AU86" s="119"/>
      <c r="AV86" s="119"/>
      <c r="AW86" s="2"/>
      <c r="AX86" s="2"/>
      <c r="AY86" s="2"/>
      <c r="AZ86" s="119"/>
      <c r="BA86" s="119"/>
      <c r="BB86" s="119"/>
      <c r="BC86" s="119"/>
      <c r="BD86" s="119"/>
      <c r="BE86" s="119"/>
      <c r="BF86" s="119"/>
      <c r="BG86" s="119"/>
      <c r="BH86" s="119"/>
      <c r="BI86" s="119"/>
      <c r="BJ86" s="119"/>
      <c r="BK86" s="119"/>
      <c r="BL86" s="119"/>
      <c r="BM86" s="119"/>
      <c r="BN86" s="119"/>
      <c r="BO86" s="119"/>
      <c r="BP86" s="119"/>
      <c r="BQ86" s="119"/>
      <c r="BR86" s="119"/>
      <c r="BS86" s="119"/>
      <c r="BT86" s="119"/>
      <c r="BU86" s="2"/>
      <c r="BV86" s="2"/>
      <c r="BW86" s="2"/>
      <c r="BX86" s="119"/>
      <c r="BY86" s="119"/>
      <c r="BZ86" s="119"/>
      <c r="CA86" s="119"/>
      <c r="CB86" s="119"/>
      <c r="CC86" s="119"/>
      <c r="CD86" s="119"/>
      <c r="CE86" s="119"/>
      <c r="CF86" s="119"/>
      <c r="CG86" s="119"/>
      <c r="CH86" s="119"/>
      <c r="CI86" s="119"/>
      <c r="CJ86" s="119"/>
      <c r="CK86" s="119"/>
      <c r="CL86" s="119"/>
      <c r="CM86" s="119"/>
      <c r="CN86" s="119"/>
      <c r="CO86" s="119"/>
      <c r="CP86" s="119"/>
      <c r="CQ86" s="119"/>
      <c r="CR86" s="119"/>
      <c r="CS86" s="2"/>
      <c r="CT86" s="2"/>
      <c r="CU86" s="8"/>
      <c r="CV86" s="8"/>
      <c r="CW86" s="8"/>
      <c r="CX86" s="8"/>
      <c r="CY86" s="8"/>
      <c r="CZ86" s="1">
        <v>0.80853137522197183</v>
      </c>
      <c r="DC86" s="1">
        <v>0.93423704847568279</v>
      </c>
      <c r="DD86" s="1">
        <v>0.98436049331056286</v>
      </c>
      <c r="DE86" s="1">
        <v>0.93870098542233027</v>
      </c>
      <c r="DF86" s="1">
        <v>0.95094783400953309</v>
      </c>
      <c r="DG86" s="8"/>
      <c r="DH86" s="8"/>
      <c r="DI86" s="8"/>
      <c r="DJ86" s="8"/>
      <c r="DK86" s="8"/>
    </row>
    <row r="87" spans="1:115" ht="15" customHeight="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8"/>
      <c r="CV87" s="8"/>
      <c r="CW87" s="8"/>
      <c r="CX87" s="8"/>
      <c r="CY87" s="8"/>
      <c r="CZ87" s="1">
        <v>0.80784139873966321</v>
      </c>
      <c r="DC87" s="1">
        <v>0.93532169219391759</v>
      </c>
      <c r="DD87" s="1">
        <v>0.98430661484264881</v>
      </c>
      <c r="DE87" s="1">
        <v>0.93719102345965188</v>
      </c>
      <c r="DF87" s="1">
        <v>0.94953367525727772</v>
      </c>
      <c r="DG87" s="8"/>
      <c r="DH87" s="8"/>
      <c r="DI87" s="8"/>
      <c r="DJ87" s="8"/>
      <c r="DK87" s="8"/>
    </row>
    <row r="88" spans="1:115" ht="15" customHeight="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8"/>
      <c r="CV88" s="8"/>
      <c r="CW88" s="8"/>
      <c r="CX88" s="8"/>
      <c r="CY88" s="8"/>
      <c r="CZ88" s="1">
        <v>0.80712794189581516</v>
      </c>
      <c r="DC88" s="1">
        <v>0.93639196020724069</v>
      </c>
      <c r="DD88" s="1">
        <v>0.98422899560997856</v>
      </c>
      <c r="DE88" s="1">
        <v>0.935649988197232</v>
      </c>
      <c r="DF88" s="1">
        <v>0.94808862198021315</v>
      </c>
      <c r="DG88" s="8"/>
      <c r="DH88" s="8"/>
      <c r="DI88" s="8"/>
      <c r="DJ88" s="8"/>
      <c r="DK88" s="8"/>
    </row>
    <row r="89" spans="1:115" ht="21" customHeight="1" x14ac:dyDescent="0.35">
      <c r="A89" s="2"/>
      <c r="B89" s="2"/>
      <c r="C89" s="2"/>
      <c r="D89" s="2"/>
      <c r="E89" s="123"/>
      <c r="F89" s="123"/>
      <c r="G89" s="123"/>
      <c r="H89" s="123"/>
      <c r="I89" s="123"/>
      <c r="J89" s="123"/>
      <c r="K89" s="123"/>
      <c r="L89" s="123"/>
      <c r="M89" s="123"/>
      <c r="N89" s="123"/>
      <c r="O89" s="123"/>
      <c r="P89" s="2"/>
      <c r="Q89" s="2"/>
      <c r="R89" s="2"/>
      <c r="S89" s="2"/>
      <c r="T89" s="2"/>
      <c r="U89" s="2"/>
      <c r="V89" s="2"/>
      <c r="W89" s="2"/>
      <c r="X89" s="2"/>
      <c r="Y89" s="2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118"/>
      <c r="BA89" s="118"/>
      <c r="BB89" s="2"/>
      <c r="BC89" s="118"/>
      <c r="BD89" s="118"/>
      <c r="BE89" s="2"/>
      <c r="BF89" s="2"/>
      <c r="BG89" s="118"/>
      <c r="BH89" s="118"/>
      <c r="BI89" s="2"/>
      <c r="BJ89" s="118"/>
      <c r="BK89" s="118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8"/>
      <c r="CV89" s="8"/>
      <c r="CW89" s="8"/>
      <c r="CX89" s="8"/>
      <c r="CY89" s="8"/>
      <c r="CZ89" s="1">
        <v>0.80639063171588365</v>
      </c>
      <c r="DC89" s="1">
        <v>0.9374474147849563</v>
      </c>
      <c r="DD89" s="1">
        <v>0.98412716906497633</v>
      </c>
      <c r="DE89" s="1">
        <v>0.93407746897315258</v>
      </c>
      <c r="DF89" s="1">
        <v>0.9466122537760161</v>
      </c>
      <c r="DG89" s="8"/>
      <c r="DH89" s="8"/>
      <c r="DI89" s="8"/>
      <c r="DJ89" s="8"/>
      <c r="DK89" s="8"/>
    </row>
    <row r="90" spans="1:115" ht="15" customHeight="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118"/>
      <c r="BA90" s="118"/>
      <c r="BB90" s="2"/>
      <c r="BC90" s="118"/>
      <c r="BD90" s="118"/>
      <c r="BE90" s="2"/>
      <c r="BF90" s="2"/>
      <c r="BG90" s="118"/>
      <c r="BH90" s="118"/>
      <c r="BI90" s="2"/>
      <c r="BJ90" s="118"/>
      <c r="BK90" s="118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8"/>
      <c r="CV90" s="8"/>
      <c r="CW90" s="8"/>
      <c r="CX90" s="8"/>
      <c r="CY90" s="8"/>
      <c r="CZ90" s="1">
        <v>0.80562909186690801</v>
      </c>
      <c r="DC90" s="1">
        <v>0.93848761056789987</v>
      </c>
      <c r="DD90" s="1">
        <v>0.98400066288418486</v>
      </c>
      <c r="DE90" s="1">
        <v>0.93247305288790172</v>
      </c>
      <c r="DF90" s="1">
        <v>0.94510414769554885</v>
      </c>
      <c r="DG90" s="8"/>
      <c r="DH90" s="8"/>
      <c r="DI90" s="8"/>
      <c r="DJ90" s="8"/>
      <c r="DK90" s="8"/>
    </row>
    <row r="91" spans="1:115" ht="15" customHeight="1" x14ac:dyDescent="0.25">
      <c r="A91" s="2"/>
      <c r="B91" s="2"/>
      <c r="C91" s="2"/>
      <c r="D91" s="2"/>
      <c r="E91" s="12"/>
      <c r="F91" s="12"/>
      <c r="G91" s="12"/>
      <c r="H91" s="12"/>
      <c r="I91" s="2"/>
      <c r="J91" s="2"/>
      <c r="K91" s="2"/>
      <c r="L91" s="12"/>
      <c r="M91" s="12"/>
      <c r="N91" s="12"/>
      <c r="O91" s="12"/>
      <c r="P91" s="2"/>
      <c r="Q91" s="2"/>
      <c r="R91" s="2"/>
      <c r="S91" s="2"/>
      <c r="T91" s="2"/>
      <c r="U91" s="2"/>
      <c r="V91" s="2"/>
      <c r="W91" s="2"/>
      <c r="X91" s="2"/>
      <c r="Y91" s="2"/>
      <c r="Z91" s="118"/>
      <c r="AA91" s="118"/>
      <c r="AB91" s="118"/>
      <c r="AC91" s="118"/>
      <c r="AD91" s="2"/>
      <c r="AE91" s="2"/>
      <c r="AF91" s="2"/>
      <c r="AG91" s="118"/>
      <c r="AH91" s="118"/>
      <c r="AI91" s="118"/>
      <c r="AJ91" s="118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61"/>
      <c r="BA91" s="61"/>
      <c r="BB91" s="2"/>
      <c r="BC91" s="61"/>
      <c r="BD91" s="61"/>
      <c r="BE91" s="2"/>
      <c r="BF91" s="2"/>
      <c r="BG91" s="61"/>
      <c r="BH91" s="61"/>
      <c r="BI91" s="2"/>
      <c r="BJ91" s="61"/>
      <c r="BK91" s="61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8"/>
      <c r="CV91" s="8"/>
      <c r="CW91" s="8"/>
      <c r="CX91" s="8"/>
      <c r="CY91" s="8"/>
      <c r="CZ91" s="1">
        <v>0.80484294272085755</v>
      </c>
      <c r="DC91" s="1">
        <v>0.93951209452018969</v>
      </c>
      <c r="DD91" s="1">
        <v>0.98384899899513967</v>
      </c>
      <c r="DE91" s="1">
        <v>0.93083632492269652</v>
      </c>
      <c r="DF91" s="1">
        <v>0.94356387835544842</v>
      </c>
      <c r="DG91" s="8"/>
      <c r="DH91" s="8"/>
      <c r="DI91" s="8"/>
      <c r="DJ91" s="8"/>
      <c r="DK91" s="8"/>
    </row>
    <row r="92" spans="1:115" ht="15" customHeight="1" x14ac:dyDescent="0.25">
      <c r="A92" s="2"/>
      <c r="B92" s="2"/>
      <c r="C92" s="2"/>
      <c r="D92" s="2"/>
      <c r="E92" s="118"/>
      <c r="F92" s="118"/>
      <c r="G92" s="118"/>
      <c r="H92" s="118"/>
      <c r="I92" s="13"/>
      <c r="J92" s="13"/>
      <c r="K92" s="2"/>
      <c r="L92" s="118"/>
      <c r="M92" s="118"/>
      <c r="N92" s="118"/>
      <c r="O92" s="118"/>
      <c r="P92" s="2"/>
      <c r="Q92" s="2"/>
      <c r="R92" s="2"/>
      <c r="S92" s="2"/>
      <c r="T92" s="2"/>
      <c r="U92" s="2"/>
      <c r="V92" s="2"/>
      <c r="W92" s="2"/>
      <c r="X92" s="2"/>
      <c r="Y92" s="2"/>
      <c r="Z92" s="12"/>
      <c r="AA92" s="12"/>
      <c r="AB92" s="12"/>
      <c r="AC92" s="12"/>
      <c r="AD92" s="2"/>
      <c r="AE92" s="2"/>
      <c r="AF92" s="2"/>
      <c r="AG92" s="12"/>
      <c r="AH92" s="12"/>
      <c r="AI92" s="12"/>
      <c r="AJ92" s="1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8"/>
      <c r="CV92" s="8"/>
      <c r="CW92" s="8"/>
      <c r="CX92" s="8"/>
      <c r="CY92" s="8"/>
      <c r="CZ92" s="1">
        <v>0.80403180142289254</v>
      </c>
      <c r="DC92" s="1">
        <v>0.94052040588445651</v>
      </c>
      <c r="DD92" s="1">
        <v>0.98367169360842432</v>
      </c>
      <c r="DE92" s="1">
        <v>0.92916686806408721</v>
      </c>
      <c r="DF92" s="1">
        <v>0.94199101805702956</v>
      </c>
      <c r="DG92" s="8"/>
      <c r="DH92" s="8"/>
      <c r="DI92" s="8"/>
      <c r="DJ92" s="8"/>
      <c r="DK92" s="8"/>
    </row>
    <row r="93" spans="1:115" ht="15" customHeight="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8"/>
      <c r="CV93" s="8"/>
      <c r="CW93" s="8"/>
      <c r="CX93" s="8"/>
      <c r="CY93" s="8"/>
      <c r="CZ93" s="1">
        <v>0.80319528196469292</v>
      </c>
      <c r="DC93" s="1">
        <v>0.94151207614075805</v>
      </c>
      <c r="DD93" s="1">
        <v>0.98346825725507681</v>
      </c>
      <c r="DE93" s="1">
        <v>0.92746426343505528</v>
      </c>
      <c r="DF93" s="1">
        <v>0.94038513691165548</v>
      </c>
      <c r="DG93" s="8"/>
      <c r="DH93" s="8"/>
      <c r="DI93" s="8"/>
      <c r="DJ93" s="8"/>
      <c r="DK93" s="8"/>
    </row>
    <row r="94" spans="1:115" ht="15" customHeight="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8"/>
      <c r="CV94" s="8"/>
      <c r="CW94" s="8"/>
      <c r="CX94" s="8"/>
      <c r="CY94" s="8"/>
      <c r="CZ94" s="1">
        <v>0.80233299526303725</v>
      </c>
      <c r="DC94" s="1">
        <v>0.94248662896942381</v>
      </c>
      <c r="DD94" s="1">
        <v>0.98323819482960839</v>
      </c>
      <c r="DE94" s="1">
        <v>0.92572809043276771</v>
      </c>
      <c r="DF94" s="1">
        <v>0.93874580297275534</v>
      </c>
      <c r="DG94" s="8"/>
      <c r="DH94" s="8"/>
      <c r="DI94" s="8"/>
      <c r="DJ94" s="8"/>
      <c r="DK94" s="8"/>
    </row>
    <row r="95" spans="1:115" ht="15" customHeight="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8"/>
      <c r="CV95" s="8"/>
      <c r="CW95" s="8"/>
      <c r="CX95" s="8"/>
      <c r="CY95" s="8"/>
      <c r="CZ95" s="1">
        <v>0.80144454924376329</v>
      </c>
      <c r="DC95" s="1">
        <v>0.94344358021798957</v>
      </c>
      <c r="DD95" s="1">
        <v>0.98298100563883462</v>
      </c>
      <c r="DE95" s="1">
        <v>0.92395792687314426</v>
      </c>
      <c r="DF95" s="1">
        <v>0.93707258237470026</v>
      </c>
      <c r="DG95" s="8"/>
      <c r="DH95" s="8"/>
      <c r="DI95" s="8"/>
      <c r="DJ95" s="8"/>
      <c r="DK95" s="8"/>
    </row>
    <row r="96" spans="1:115" ht="15" customHeight="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8"/>
      <c r="CV96" s="8"/>
      <c r="CW96" s="8"/>
      <c r="CX96" s="8"/>
      <c r="CY96" s="8"/>
      <c r="CZ96" s="1">
        <v>0.80052954893133998</v>
      </c>
      <c r="DC96" s="1">
        <v>0.94438243787253318</v>
      </c>
      <c r="DD96" s="1">
        <v>0.98269618345675402</v>
      </c>
      <c r="DE96" s="1">
        <v>0.92215334914246361</v>
      </c>
      <c r="DF96" s="1">
        <v>0.93536503947868455</v>
      </c>
      <c r="DG96" s="8"/>
      <c r="DH96" s="8"/>
      <c r="DI96" s="8"/>
      <c r="DJ96" s="8"/>
      <c r="DK96" s="8"/>
    </row>
    <row r="97" spans="1:115" ht="15" customHeight="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8"/>
      <c r="CV97" s="8"/>
      <c r="CW97" s="8"/>
      <c r="CX97" s="8"/>
      <c r="CY97" s="8"/>
      <c r="CZ97" s="1">
        <v>0.79958759654416312</v>
      </c>
      <c r="DC97" s="1">
        <v>0.94530270203358835</v>
      </c>
      <c r="DD97" s="1">
        <v>0.98238321658570904</v>
      </c>
      <c r="DE97" s="1">
        <v>0.92031393235612813</v>
      </c>
      <c r="DF97" s="1">
        <v>0.93362273702584109</v>
      </c>
      <c r="DG97" s="8"/>
      <c r="DH97" s="8"/>
      <c r="DI97" s="8"/>
      <c r="DJ97" s="8"/>
      <c r="DK97" s="8"/>
    </row>
    <row r="98" spans="1:115" ht="15" customHeight="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8"/>
      <c r="CV98" s="8"/>
      <c r="CW98" s="8"/>
      <c r="CX98" s="8"/>
      <c r="CY98" s="8"/>
      <c r="CZ98" s="1">
        <v>0.79861829159579878</v>
      </c>
      <c r="DC98" s="1">
        <v>0.94620386489689501</v>
      </c>
      <c r="DD98" s="1">
        <v>0.98204158792403062</v>
      </c>
      <c r="DE98" s="1">
        <v>0.91843925052480557</v>
      </c>
      <c r="DF98" s="1">
        <v>0.93184523629770744</v>
      </c>
      <c r="DG98" s="8"/>
      <c r="DH98" s="8"/>
      <c r="DI98" s="8"/>
      <c r="DJ98" s="8"/>
      <c r="DK98" s="8"/>
    </row>
    <row r="99" spans="1:115" ht="15" customHeight="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8"/>
      <c r="CV99" s="8"/>
      <c r="CW99" s="8"/>
      <c r="CX99" s="8"/>
      <c r="CY99" s="8"/>
      <c r="CZ99" s="1">
        <v>0.79762123100231352</v>
      </c>
      <c r="DC99" s="1">
        <v>0.94708541073923858</v>
      </c>
      <c r="DD99" s="1">
        <v>0.98167077504045652</v>
      </c>
      <c r="DE99" s="1">
        <v>0.91652887672810823</v>
      </c>
      <c r="DF99" s="1">
        <v>0.93003209728429603</v>
      </c>
      <c r="DG99" s="8"/>
      <c r="DH99" s="8"/>
      <c r="DI99" s="8"/>
      <c r="DJ99" s="8"/>
      <c r="DK99" s="8"/>
    </row>
    <row r="100" spans="1:115" ht="15" customHeight="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8"/>
      <c r="CV100" s="8"/>
      <c r="CW100" s="8"/>
      <c r="CX100" s="8"/>
      <c r="CY100" s="8"/>
      <c r="CZ100" s="1">
        <v>0.79659600919587648</v>
      </c>
      <c r="DC100" s="1">
        <v>0.94794681590965579</v>
      </c>
      <c r="DD100" s="1">
        <v>0.98127025025552284</v>
      </c>
      <c r="DE100" s="1">
        <v>0.91458238329597641</v>
      </c>
      <c r="DF100" s="1">
        <v>0.92818287885991335</v>
      </c>
      <c r="DG100" s="8"/>
      <c r="DH100" s="8"/>
      <c r="DI100" s="8"/>
      <c r="DJ100" s="8"/>
      <c r="DK100" s="8"/>
    </row>
    <row r="101" spans="1:115" ht="15" customHeight="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8"/>
      <c r="CV101" s="8"/>
      <c r="CW101" s="8"/>
      <c r="CX101" s="8"/>
      <c r="CY101" s="8"/>
      <c r="CZ101" s="1">
        <v>0.7955422182448485</v>
      </c>
      <c r="DC101" s="1">
        <v>0.94878754882620253</v>
      </c>
      <c r="DD101" s="1">
        <v>0.98083948073020011</v>
      </c>
      <c r="DE101" s="1">
        <v>0.91259934199795811</v>
      </c>
      <c r="DF101" s="1">
        <v>0.9262971389669068</v>
      </c>
      <c r="DG101" s="8"/>
      <c r="DH101" s="8"/>
      <c r="DI101" s="8"/>
      <c r="DJ101" s="8"/>
      <c r="DK101" s="8"/>
    </row>
    <row r="102" spans="1:115" ht="15" customHeight="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8"/>
      <c r="CV102" s="8"/>
      <c r="CW102" s="8"/>
      <c r="CX102" s="8"/>
      <c r="CY102" s="8"/>
      <c r="CZ102" s="1">
        <v>0.79445944798046186</v>
      </c>
      <c r="DC102" s="1">
        <v>0.94960706997863786</v>
      </c>
      <c r="DD102" s="1">
        <v>0.9803779285619888</v>
      </c>
      <c r="DE102" s="1">
        <v>0.91057932424054711</v>
      </c>
      <c r="DF102" s="1">
        <v>0.92437443480753267</v>
      </c>
      <c r="DG102" s="8"/>
      <c r="DH102" s="8"/>
      <c r="DI102" s="8"/>
      <c r="DJ102" s="8"/>
      <c r="DK102" s="8"/>
    </row>
    <row r="103" spans="1:115" ht="15" customHeight="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8"/>
      <c r="CV103" s="8"/>
      <c r="CW103" s="8"/>
      <c r="CX103" s="8"/>
      <c r="CY103" s="8"/>
      <c r="CZ103" s="1">
        <v>0.79334728613033612</v>
      </c>
      <c r="DC103" s="1">
        <v>0.95040483193723302</v>
      </c>
      <c r="DD103" s="1">
        <v>0.97988505088877353</v>
      </c>
      <c r="DE103" s="1">
        <v>0.9085219012727398</v>
      </c>
      <c r="DF103" s="1">
        <v>0.92241432304413107</v>
      </c>
      <c r="DG103" s="8"/>
      <c r="DH103" s="8"/>
      <c r="DI103" s="8"/>
      <c r="DJ103" s="8"/>
      <c r="DK103" s="8"/>
    </row>
    <row r="104" spans="1:115" ht="15" customHeight="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8"/>
      <c r="CV104" s="8"/>
      <c r="CW104" s="8"/>
      <c r="CX104" s="8"/>
      <c r="CY104" s="8"/>
      <c r="DG104" s="8"/>
      <c r="DH104" s="8"/>
      <c r="DI104" s="8"/>
      <c r="DJ104" s="8"/>
      <c r="DK104" s="8"/>
    </row>
    <row r="105" spans="1:115" ht="15" customHeight="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8"/>
      <c r="CV105" s="8"/>
      <c r="CW105" s="8"/>
      <c r="CX105" s="8"/>
      <c r="CY105" s="8"/>
      <c r="DG105" s="8"/>
      <c r="DH105" s="8"/>
      <c r="DI105" s="8"/>
      <c r="DJ105" s="8"/>
      <c r="DK105" s="8"/>
    </row>
    <row r="106" spans="1:115" ht="15" customHeight="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8"/>
      <c r="CV106" s="8"/>
      <c r="CW106" s="8"/>
      <c r="CX106" s="8"/>
      <c r="CY106" s="8"/>
      <c r="DG106" s="8"/>
      <c r="DH106" s="8"/>
      <c r="DI106" s="8"/>
      <c r="DJ106" s="8"/>
      <c r="DK106" s="8"/>
    </row>
    <row r="107" spans="1:115" ht="15" customHeight="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8"/>
      <c r="CV107" s="8"/>
      <c r="CW107" s="8"/>
      <c r="CX107" s="8"/>
      <c r="CY107" s="8"/>
      <c r="DG107" s="8"/>
      <c r="DH107" s="8"/>
      <c r="DI107" s="8"/>
      <c r="DJ107" s="8"/>
      <c r="DK107" s="8"/>
    </row>
    <row r="108" spans="1:115" ht="15" customHeight="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8"/>
      <c r="CV108" s="8"/>
      <c r="CW108" s="8"/>
      <c r="CX108" s="8"/>
      <c r="CY108" s="8"/>
      <c r="DG108" s="8"/>
      <c r="DH108" s="8"/>
      <c r="DI108" s="8"/>
      <c r="DJ108" s="8"/>
      <c r="DK108" s="8"/>
    </row>
    <row r="109" spans="1:115" ht="15" customHeight="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8"/>
      <c r="CV109" s="8"/>
      <c r="CW109" s="8"/>
      <c r="CX109" s="8"/>
      <c r="CY109" s="8"/>
      <c r="DG109" s="8"/>
      <c r="DH109" s="8"/>
      <c r="DI109" s="8"/>
      <c r="DJ109" s="8"/>
      <c r="DK109" s="8"/>
    </row>
    <row r="110" spans="1:115" ht="15" customHeight="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8"/>
      <c r="CV110" s="8"/>
      <c r="CW110" s="8"/>
      <c r="CX110" s="8"/>
      <c r="CY110" s="8"/>
      <c r="DG110" s="8"/>
      <c r="DH110" s="8"/>
      <c r="DI110" s="8"/>
      <c r="DJ110" s="8"/>
      <c r="DK110" s="8"/>
    </row>
    <row r="111" spans="1:115" ht="15" customHeight="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8"/>
      <c r="CV111" s="8"/>
      <c r="CW111" s="8"/>
      <c r="CX111" s="8"/>
      <c r="CY111" s="8"/>
      <c r="DG111" s="8"/>
      <c r="DH111" s="8"/>
      <c r="DI111" s="8"/>
      <c r="DJ111" s="8"/>
      <c r="DK111" s="8"/>
    </row>
    <row r="112" spans="1:115" ht="15" customHeight="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8"/>
      <c r="CV112" s="8"/>
      <c r="CW112" s="8"/>
      <c r="CX112" s="8"/>
      <c r="CY112" s="8"/>
      <c r="DG112" s="8"/>
      <c r="DH112" s="8"/>
      <c r="DI112" s="8"/>
      <c r="DJ112" s="8"/>
      <c r="DK112" s="8"/>
    </row>
    <row r="113" spans="1:100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</row>
    <row r="114" spans="1:100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</row>
    <row r="115" spans="1:100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</row>
    <row r="116" spans="1:100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</row>
    <row r="117" spans="1:100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</row>
    <row r="118" spans="1:100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</row>
    <row r="119" spans="1:100" x14ac:dyDescent="0.25">
      <c r="A119" s="2"/>
      <c r="B119" s="2"/>
      <c r="C119" s="2"/>
      <c r="D119" s="2"/>
      <c r="E119" s="62"/>
      <c r="F119" s="62"/>
      <c r="G119" s="62"/>
      <c r="H119" s="6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62"/>
      <c r="Z119" s="62"/>
      <c r="AA119" s="62"/>
      <c r="AB119" s="6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</row>
    <row r="120" spans="1:100" x14ac:dyDescent="0.25">
      <c r="A120" s="2"/>
      <c r="B120" s="2"/>
      <c r="C120" s="2"/>
      <c r="D120" s="2"/>
      <c r="E120" s="62"/>
      <c r="F120" s="62"/>
      <c r="G120" s="62"/>
      <c r="H120" s="6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62"/>
      <c r="Z120" s="62"/>
      <c r="AA120" s="62"/>
      <c r="AB120" s="6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</row>
    <row r="121" spans="1:100" x14ac:dyDescent="0.25">
      <c r="A121" s="2"/>
      <c r="B121" s="2"/>
      <c r="C121" s="2"/>
      <c r="D121" s="2"/>
      <c r="E121" s="62"/>
      <c r="F121" s="62"/>
      <c r="G121" s="62"/>
      <c r="H121" s="6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62"/>
      <c r="Z121" s="62"/>
      <c r="AA121" s="62"/>
      <c r="AB121" s="6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</row>
    <row r="122" spans="1:100" x14ac:dyDescent="0.25">
      <c r="A122" s="2"/>
      <c r="B122" s="2"/>
      <c r="C122" s="2"/>
      <c r="D122" s="2"/>
      <c r="E122" s="62"/>
      <c r="F122" s="62"/>
      <c r="G122" s="62"/>
      <c r="H122" s="6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62"/>
      <c r="Z122" s="62"/>
      <c r="AA122" s="62"/>
      <c r="AB122" s="6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</row>
    <row r="123" spans="1:100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</row>
    <row r="124" spans="1:100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</row>
    <row r="125" spans="1:100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</row>
    <row r="126" spans="1:100" ht="69" customHeight="1" x14ac:dyDescent="0.25">
      <c r="A126" s="120"/>
      <c r="B126" s="120"/>
      <c r="C126" s="120"/>
      <c r="D126" s="120"/>
      <c r="E126" s="120"/>
      <c r="F126" s="120"/>
      <c r="G126" s="120"/>
      <c r="H126" s="120"/>
      <c r="I126" s="120"/>
      <c r="J126" s="120"/>
      <c r="K126" s="120"/>
      <c r="L126" s="120"/>
      <c r="M126" s="120"/>
      <c r="N126" s="120"/>
      <c r="O126" s="120"/>
      <c r="P126" s="120"/>
      <c r="Q126" s="120"/>
      <c r="R126" s="120"/>
      <c r="S126" s="120"/>
      <c r="T126" s="120"/>
      <c r="U126" s="120"/>
      <c r="V126" s="120"/>
      <c r="W126" s="120"/>
      <c r="X126" s="120"/>
      <c r="Y126" s="120"/>
      <c r="Z126" s="120"/>
      <c r="AA126" s="120"/>
      <c r="AB126" s="120"/>
      <c r="AC126" s="120"/>
      <c r="AD126" s="120"/>
      <c r="AE126" s="120"/>
      <c r="AF126" s="120"/>
      <c r="AG126" s="120"/>
      <c r="AH126" s="120"/>
      <c r="AI126" s="120"/>
      <c r="AJ126" s="120"/>
      <c r="AK126" s="120"/>
      <c r="AL126" s="120"/>
      <c r="AM126" s="120"/>
      <c r="AN126" s="120"/>
      <c r="AO126" s="120"/>
      <c r="AP126" s="120"/>
      <c r="AQ126" s="120"/>
      <c r="AR126" s="120"/>
      <c r="AS126" s="120"/>
      <c r="AT126" s="120"/>
      <c r="AU126" s="120"/>
      <c r="AV126" s="120"/>
      <c r="AW126" s="120"/>
      <c r="AX126" s="120"/>
      <c r="AY126" s="120"/>
      <c r="AZ126" s="120"/>
      <c r="BA126" s="120"/>
      <c r="BB126" s="120"/>
      <c r="BC126" s="120"/>
      <c r="BD126" s="120"/>
      <c r="BE126" s="120"/>
      <c r="BF126" s="120"/>
      <c r="BG126" s="120"/>
      <c r="BH126" s="120"/>
      <c r="BI126" s="120"/>
      <c r="BJ126" s="120"/>
      <c r="BK126" s="120"/>
      <c r="BL126" s="120"/>
      <c r="BM126" s="120"/>
      <c r="BN126" s="120"/>
      <c r="BO126" s="120"/>
      <c r="BP126" s="120"/>
      <c r="BQ126" s="120"/>
      <c r="BR126" s="120"/>
      <c r="BS126" s="120"/>
      <c r="BT126" s="120"/>
      <c r="BU126" s="120"/>
      <c r="BV126" s="120"/>
      <c r="BW126" s="120"/>
      <c r="BX126" s="120"/>
      <c r="BY126" s="120"/>
      <c r="BZ126" s="120"/>
      <c r="CA126" s="120"/>
      <c r="CB126" s="120"/>
      <c r="CC126" s="120"/>
      <c r="CD126" s="120"/>
      <c r="CE126" s="120"/>
      <c r="CF126" s="120"/>
      <c r="CG126" s="120"/>
      <c r="CH126" s="120"/>
      <c r="CI126" s="120"/>
      <c r="CJ126" s="120"/>
      <c r="CK126" s="120"/>
      <c r="CL126" s="120"/>
      <c r="CM126" s="120"/>
      <c r="CN126" s="120"/>
      <c r="CO126" s="120"/>
      <c r="CP126" s="120"/>
      <c r="CQ126" s="120"/>
      <c r="CR126" s="120"/>
      <c r="CS126" s="8"/>
      <c r="CT126" s="8"/>
      <c r="CU126" s="8"/>
      <c r="CV126" s="8"/>
    </row>
    <row r="127" spans="1:100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</row>
    <row r="128" spans="1:100" ht="16.5" customHeight="1" x14ac:dyDescent="0.25">
      <c r="A128" s="2"/>
      <c r="B128" s="2"/>
      <c r="C128" s="2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2"/>
      <c r="Y128" s="2"/>
      <c r="Z128" s="2"/>
      <c r="AA128" s="2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</row>
    <row r="129" spans="1:96" ht="16.5" customHeight="1" x14ac:dyDescent="0.25">
      <c r="A129" s="2"/>
      <c r="B129" s="2"/>
      <c r="C129" s="2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2"/>
      <c r="Y129" s="2"/>
      <c r="Z129" s="2"/>
      <c r="AA129" s="2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2"/>
      <c r="AW129" s="2"/>
      <c r="AX129" s="2"/>
      <c r="AY129" s="2"/>
      <c r="AZ129" s="2"/>
      <c r="BA129" s="2"/>
      <c r="BB129" s="2"/>
      <c r="BC129" s="118"/>
      <c r="BD129" s="118"/>
      <c r="BE129" s="117"/>
      <c r="BF129" s="117"/>
      <c r="BG129" s="2"/>
      <c r="BH129" s="2"/>
      <c r="BI129" s="2"/>
      <c r="BJ129" s="2"/>
      <c r="BK129" s="121"/>
      <c r="BL129" s="63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0"/>
      <c r="BX129" s="60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</row>
    <row r="130" spans="1:96" ht="15" customHeight="1" x14ac:dyDescent="0.25">
      <c r="A130" s="2"/>
      <c r="B130" s="2"/>
      <c r="C130" s="2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  <c r="W130" s="119"/>
      <c r="X130" s="2"/>
      <c r="Y130" s="2"/>
      <c r="Z130" s="2"/>
      <c r="AA130" s="2"/>
      <c r="AB130" s="119"/>
      <c r="AC130" s="119"/>
      <c r="AD130" s="119"/>
      <c r="AE130" s="119"/>
      <c r="AF130" s="119"/>
      <c r="AG130" s="119"/>
      <c r="AH130" s="119"/>
      <c r="AI130" s="119"/>
      <c r="AJ130" s="119"/>
      <c r="AK130" s="119"/>
      <c r="AL130" s="119"/>
      <c r="AM130" s="119"/>
      <c r="AN130" s="119"/>
      <c r="AO130" s="119"/>
      <c r="AP130" s="119"/>
      <c r="AQ130" s="119"/>
      <c r="AR130" s="119"/>
      <c r="AS130" s="119"/>
      <c r="AT130" s="119"/>
      <c r="AU130" s="119"/>
      <c r="AV130" s="2"/>
      <c r="AW130" s="2"/>
      <c r="AX130" s="2"/>
      <c r="AY130" s="2"/>
      <c r="AZ130" s="2"/>
      <c r="BA130" s="2"/>
      <c r="BB130" s="2"/>
      <c r="BC130" s="65"/>
      <c r="BD130" s="65"/>
      <c r="BE130" s="65"/>
      <c r="BF130" s="65"/>
      <c r="BG130" s="2"/>
      <c r="BH130" s="2"/>
      <c r="BI130" s="2"/>
      <c r="BJ130" s="2"/>
      <c r="BK130" s="121"/>
      <c r="BL130" s="63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0"/>
      <c r="BX130" s="60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</row>
    <row r="131" spans="1:96" x14ac:dyDescent="0.25">
      <c r="A131" s="2"/>
      <c r="B131" s="2"/>
      <c r="C131" s="58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58"/>
      <c r="Y131" s="2"/>
      <c r="Z131" s="2"/>
      <c r="AA131" s="58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58"/>
      <c r="AW131" s="2"/>
      <c r="AX131" s="2"/>
      <c r="AY131" s="2"/>
      <c r="AZ131" s="2"/>
      <c r="BA131" s="2"/>
      <c r="BB131" s="2"/>
      <c r="BC131" s="64"/>
      <c r="BD131" s="64"/>
      <c r="BE131" s="64"/>
      <c r="BF131" s="64"/>
      <c r="BG131" s="2"/>
      <c r="BH131" s="2"/>
      <c r="BI131" s="2"/>
      <c r="BJ131" s="2"/>
      <c r="BK131" s="121"/>
      <c r="BL131" s="63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0"/>
      <c r="BX131" s="60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</row>
    <row r="132" spans="1:96" x14ac:dyDescent="0.25">
      <c r="A132" s="2"/>
      <c r="B132" s="2"/>
      <c r="C132" s="66"/>
      <c r="D132" s="67"/>
      <c r="E132" s="67"/>
      <c r="F132" s="67"/>
      <c r="G132" s="67"/>
      <c r="H132" s="67"/>
      <c r="I132" s="67"/>
      <c r="J132" s="67"/>
      <c r="K132" s="67"/>
      <c r="L132" s="67"/>
      <c r="M132" s="67"/>
      <c r="N132" s="67"/>
      <c r="O132" s="67"/>
      <c r="P132" s="67"/>
      <c r="Q132" s="67"/>
      <c r="R132" s="67"/>
      <c r="S132" s="67"/>
      <c r="T132" s="67"/>
      <c r="U132" s="67"/>
      <c r="V132" s="67"/>
      <c r="W132" s="67"/>
      <c r="X132" s="68"/>
      <c r="Y132" s="2"/>
      <c r="Z132" s="2"/>
      <c r="AA132" s="66"/>
      <c r="AB132" s="67"/>
      <c r="AC132" s="67"/>
      <c r="AD132" s="67"/>
      <c r="AE132" s="67"/>
      <c r="AF132" s="67"/>
      <c r="AG132" s="67"/>
      <c r="AH132" s="67"/>
      <c r="AI132" s="67"/>
      <c r="AJ132" s="67"/>
      <c r="AK132" s="67"/>
      <c r="AL132" s="67"/>
      <c r="AM132" s="67"/>
      <c r="AN132" s="67"/>
      <c r="AO132" s="67"/>
      <c r="AP132" s="67"/>
      <c r="AQ132" s="67"/>
      <c r="AR132" s="67"/>
      <c r="AS132" s="67"/>
      <c r="AT132" s="67"/>
      <c r="AU132" s="67"/>
      <c r="AV132" s="68"/>
      <c r="AW132" s="2"/>
      <c r="AX132" s="2"/>
      <c r="AY132" s="2"/>
      <c r="AZ132" s="2"/>
      <c r="BA132" s="2"/>
      <c r="BB132" s="2"/>
      <c r="BC132" s="64"/>
      <c r="BD132" s="64"/>
      <c r="BE132" s="64"/>
      <c r="BF132" s="64"/>
      <c r="BG132" s="2"/>
      <c r="BH132" s="2"/>
      <c r="BI132" s="2"/>
      <c r="BJ132" s="2"/>
      <c r="BK132" s="121"/>
      <c r="BL132" s="63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0"/>
      <c r="BX132" s="60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</row>
    <row r="133" spans="1:96" x14ac:dyDescent="0.25">
      <c r="A133" s="2"/>
      <c r="B133" s="2"/>
      <c r="C133" s="66"/>
      <c r="D133" s="67"/>
      <c r="E133" s="67"/>
      <c r="F133" s="67"/>
      <c r="G133" s="67"/>
      <c r="H133" s="67"/>
      <c r="I133" s="67"/>
      <c r="J133" s="67"/>
      <c r="K133" s="67"/>
      <c r="L133" s="67"/>
      <c r="M133" s="67"/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8"/>
      <c r="Y133" s="2"/>
      <c r="Z133" s="2"/>
      <c r="AA133" s="66"/>
      <c r="AB133" s="67"/>
      <c r="AC133" s="67"/>
      <c r="AD133" s="67"/>
      <c r="AE133" s="67"/>
      <c r="AF133" s="67"/>
      <c r="AG133" s="67"/>
      <c r="AH133" s="67"/>
      <c r="AI133" s="67"/>
      <c r="AJ133" s="67"/>
      <c r="AK133" s="67"/>
      <c r="AL133" s="67"/>
      <c r="AM133" s="67"/>
      <c r="AN133" s="67"/>
      <c r="AO133" s="67"/>
      <c r="AP133" s="67"/>
      <c r="AQ133" s="67"/>
      <c r="AR133" s="67"/>
      <c r="AS133" s="67"/>
      <c r="AT133" s="67"/>
      <c r="AU133" s="67"/>
      <c r="AV133" s="68"/>
      <c r="AW133" s="2"/>
      <c r="AX133" s="2"/>
      <c r="AY133" s="2"/>
      <c r="AZ133" s="2"/>
      <c r="BA133" s="2"/>
      <c r="BB133" s="2"/>
      <c r="BC133" s="64"/>
      <c r="BD133" s="64"/>
      <c r="BE133" s="64"/>
      <c r="BF133" s="64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</row>
    <row r="134" spans="1:96" x14ac:dyDescent="0.25">
      <c r="A134" s="2"/>
      <c r="B134" s="2"/>
      <c r="C134" s="66"/>
      <c r="D134" s="67"/>
      <c r="E134" s="67"/>
      <c r="F134" s="67"/>
      <c r="G134" s="67"/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8"/>
      <c r="Y134" s="2"/>
      <c r="Z134" s="2"/>
      <c r="AA134" s="66"/>
      <c r="AB134" s="67"/>
      <c r="AC134" s="67"/>
      <c r="AD134" s="67"/>
      <c r="AE134" s="67"/>
      <c r="AF134" s="67"/>
      <c r="AG134" s="67"/>
      <c r="AH134" s="67"/>
      <c r="AI134" s="67"/>
      <c r="AJ134" s="67"/>
      <c r="AK134" s="67"/>
      <c r="AL134" s="67"/>
      <c r="AM134" s="67"/>
      <c r="AN134" s="67"/>
      <c r="AO134" s="67"/>
      <c r="AP134" s="67"/>
      <c r="AQ134" s="67"/>
      <c r="AR134" s="67"/>
      <c r="AS134" s="67"/>
      <c r="AT134" s="67"/>
      <c r="AU134" s="67"/>
      <c r="AV134" s="68"/>
      <c r="AW134" s="2"/>
      <c r="AX134" s="2"/>
      <c r="AY134" s="2"/>
      <c r="AZ134" s="2"/>
      <c r="BA134" s="2"/>
      <c r="BB134" s="2"/>
      <c r="BC134" s="64"/>
      <c r="BD134" s="64"/>
      <c r="BE134" s="64"/>
      <c r="BF134" s="64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</row>
    <row r="135" spans="1:96" x14ac:dyDescent="0.25">
      <c r="A135" s="2"/>
      <c r="B135" s="2"/>
      <c r="C135" s="66"/>
      <c r="D135" s="67"/>
      <c r="E135" s="67"/>
      <c r="F135" s="67"/>
      <c r="G135" s="67"/>
      <c r="H135" s="67"/>
      <c r="I135" s="67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8"/>
      <c r="Y135" s="2"/>
      <c r="Z135" s="2"/>
      <c r="AA135" s="66"/>
      <c r="AB135" s="67"/>
      <c r="AC135" s="67"/>
      <c r="AD135" s="67"/>
      <c r="AE135" s="67"/>
      <c r="AF135" s="67"/>
      <c r="AG135" s="67"/>
      <c r="AH135" s="67"/>
      <c r="AI135" s="67"/>
      <c r="AJ135" s="67"/>
      <c r="AK135" s="67"/>
      <c r="AL135" s="67"/>
      <c r="AM135" s="67"/>
      <c r="AN135" s="67"/>
      <c r="AO135" s="67"/>
      <c r="AP135" s="67"/>
      <c r="AQ135" s="67"/>
      <c r="AR135" s="67"/>
      <c r="AS135" s="67"/>
      <c r="AT135" s="67"/>
      <c r="AU135" s="67"/>
      <c r="AV135" s="68"/>
      <c r="AW135" s="2"/>
      <c r="AX135" s="2"/>
      <c r="AY135" s="2"/>
      <c r="AZ135" s="2"/>
      <c r="BA135" s="2"/>
      <c r="BB135" s="2"/>
      <c r="BC135" s="64"/>
      <c r="BD135" s="64"/>
      <c r="BE135" s="64"/>
      <c r="BF135" s="64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</row>
    <row r="136" spans="1:96" x14ac:dyDescent="0.25">
      <c r="A136" s="2"/>
      <c r="B136" s="2"/>
      <c r="C136" s="66"/>
      <c r="D136" s="67"/>
      <c r="E136" s="67"/>
      <c r="F136" s="67"/>
      <c r="G136" s="67"/>
      <c r="H136" s="67"/>
      <c r="I136" s="67"/>
      <c r="J136" s="67"/>
      <c r="K136" s="67"/>
      <c r="L136" s="67"/>
      <c r="M136" s="67"/>
      <c r="N136" s="67"/>
      <c r="O136" s="67"/>
      <c r="P136" s="67"/>
      <c r="Q136" s="67"/>
      <c r="R136" s="67"/>
      <c r="S136" s="67"/>
      <c r="T136" s="67"/>
      <c r="U136" s="67"/>
      <c r="V136" s="67"/>
      <c r="W136" s="67"/>
      <c r="X136" s="68"/>
      <c r="Y136" s="2"/>
      <c r="Z136" s="2"/>
      <c r="AA136" s="66"/>
      <c r="AB136" s="67"/>
      <c r="AC136" s="67"/>
      <c r="AD136" s="67"/>
      <c r="AE136" s="67"/>
      <c r="AF136" s="67"/>
      <c r="AG136" s="67"/>
      <c r="AH136" s="67"/>
      <c r="AI136" s="67"/>
      <c r="AJ136" s="67"/>
      <c r="AK136" s="67"/>
      <c r="AL136" s="67"/>
      <c r="AM136" s="67"/>
      <c r="AN136" s="67"/>
      <c r="AO136" s="67"/>
      <c r="AP136" s="67"/>
      <c r="AQ136" s="67"/>
      <c r="AR136" s="67"/>
      <c r="AS136" s="67"/>
      <c r="AT136" s="67"/>
      <c r="AU136" s="67"/>
      <c r="AV136" s="68"/>
      <c r="AW136" s="2"/>
      <c r="AX136" s="2"/>
      <c r="AY136" s="2"/>
      <c r="AZ136" s="2"/>
      <c r="BA136" s="2"/>
      <c r="BB136" s="2"/>
      <c r="BC136" s="64"/>
      <c r="BD136" s="64"/>
      <c r="BE136" s="64"/>
      <c r="BF136" s="64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</row>
    <row r="137" spans="1:96" x14ac:dyDescent="0.25">
      <c r="A137" s="2"/>
      <c r="B137" s="2"/>
      <c r="C137" s="66"/>
      <c r="D137" s="67"/>
      <c r="E137" s="67"/>
      <c r="F137" s="67"/>
      <c r="G137" s="67"/>
      <c r="H137" s="67"/>
      <c r="I137" s="67"/>
      <c r="J137" s="67"/>
      <c r="K137" s="67"/>
      <c r="L137" s="67"/>
      <c r="M137" s="67"/>
      <c r="N137" s="67"/>
      <c r="O137" s="67"/>
      <c r="P137" s="67"/>
      <c r="Q137" s="67"/>
      <c r="R137" s="67"/>
      <c r="S137" s="67"/>
      <c r="T137" s="67"/>
      <c r="U137" s="67"/>
      <c r="V137" s="67"/>
      <c r="W137" s="67"/>
      <c r="X137" s="68"/>
      <c r="Y137" s="2"/>
      <c r="Z137" s="2"/>
      <c r="AA137" s="66"/>
      <c r="AB137" s="67"/>
      <c r="AC137" s="67"/>
      <c r="AD137" s="67"/>
      <c r="AE137" s="67"/>
      <c r="AF137" s="67"/>
      <c r="AG137" s="67"/>
      <c r="AH137" s="67"/>
      <c r="AI137" s="67"/>
      <c r="AJ137" s="67"/>
      <c r="AK137" s="67"/>
      <c r="AL137" s="67"/>
      <c r="AM137" s="67"/>
      <c r="AN137" s="67"/>
      <c r="AO137" s="67"/>
      <c r="AP137" s="67"/>
      <c r="AQ137" s="67"/>
      <c r="AR137" s="67"/>
      <c r="AS137" s="67"/>
      <c r="AT137" s="67"/>
      <c r="AU137" s="67"/>
      <c r="AV137" s="68"/>
      <c r="AW137" s="2"/>
      <c r="AX137" s="2"/>
      <c r="AY137" s="2"/>
      <c r="AZ137" s="2"/>
      <c r="BA137" s="2"/>
      <c r="BB137" s="2"/>
      <c r="BC137" s="64"/>
      <c r="BD137" s="64"/>
      <c r="BE137" s="64"/>
      <c r="BF137" s="64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</row>
    <row r="138" spans="1:96" x14ac:dyDescent="0.25">
      <c r="A138" s="2"/>
      <c r="B138" s="2"/>
      <c r="C138" s="66"/>
      <c r="D138" s="67"/>
      <c r="E138" s="67"/>
      <c r="F138" s="67"/>
      <c r="G138" s="67"/>
      <c r="H138" s="67"/>
      <c r="I138" s="67"/>
      <c r="J138" s="67"/>
      <c r="K138" s="67"/>
      <c r="L138" s="67"/>
      <c r="M138" s="67"/>
      <c r="N138" s="67"/>
      <c r="O138" s="67"/>
      <c r="P138" s="67"/>
      <c r="Q138" s="67"/>
      <c r="R138" s="67"/>
      <c r="S138" s="67"/>
      <c r="T138" s="67"/>
      <c r="U138" s="67"/>
      <c r="V138" s="67"/>
      <c r="W138" s="67"/>
      <c r="X138" s="68"/>
      <c r="Y138" s="2"/>
      <c r="Z138" s="2"/>
      <c r="AA138" s="66"/>
      <c r="AB138" s="67"/>
      <c r="AC138" s="67"/>
      <c r="AD138" s="67"/>
      <c r="AE138" s="67"/>
      <c r="AF138" s="67"/>
      <c r="AG138" s="67"/>
      <c r="AH138" s="67"/>
      <c r="AI138" s="67"/>
      <c r="AJ138" s="67"/>
      <c r="AK138" s="67"/>
      <c r="AL138" s="67"/>
      <c r="AM138" s="67"/>
      <c r="AN138" s="67"/>
      <c r="AO138" s="67"/>
      <c r="AP138" s="67"/>
      <c r="AQ138" s="67"/>
      <c r="AR138" s="67"/>
      <c r="AS138" s="67"/>
      <c r="AT138" s="67"/>
      <c r="AU138" s="67"/>
      <c r="AV138" s="68"/>
      <c r="AW138" s="2"/>
      <c r="AX138" s="2"/>
      <c r="AY138" s="2"/>
      <c r="AZ138" s="2"/>
      <c r="BA138" s="2"/>
      <c r="BB138" s="2"/>
      <c r="BC138" s="64"/>
      <c r="BD138" s="64"/>
      <c r="BE138" s="64"/>
      <c r="BF138" s="64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</row>
    <row r="139" spans="1:96" x14ac:dyDescent="0.25">
      <c r="A139" s="2"/>
      <c r="B139" s="2"/>
      <c r="C139" s="66"/>
      <c r="D139" s="67"/>
      <c r="E139" s="67"/>
      <c r="F139" s="67"/>
      <c r="G139" s="67"/>
      <c r="H139" s="67"/>
      <c r="I139" s="67"/>
      <c r="J139" s="67"/>
      <c r="K139" s="67"/>
      <c r="L139" s="67"/>
      <c r="M139" s="67"/>
      <c r="N139" s="67"/>
      <c r="O139" s="67"/>
      <c r="P139" s="67"/>
      <c r="Q139" s="67"/>
      <c r="R139" s="67"/>
      <c r="S139" s="67"/>
      <c r="T139" s="67"/>
      <c r="U139" s="67"/>
      <c r="V139" s="67"/>
      <c r="W139" s="67"/>
      <c r="X139" s="68"/>
      <c r="Y139" s="2"/>
      <c r="Z139" s="2"/>
      <c r="AA139" s="66"/>
      <c r="AB139" s="67"/>
      <c r="AC139" s="67"/>
      <c r="AD139" s="67"/>
      <c r="AE139" s="67"/>
      <c r="AF139" s="67"/>
      <c r="AG139" s="67"/>
      <c r="AH139" s="67"/>
      <c r="AI139" s="67"/>
      <c r="AJ139" s="67"/>
      <c r="AK139" s="67"/>
      <c r="AL139" s="67"/>
      <c r="AM139" s="67"/>
      <c r="AN139" s="67"/>
      <c r="AO139" s="67"/>
      <c r="AP139" s="67"/>
      <c r="AQ139" s="67"/>
      <c r="AR139" s="67"/>
      <c r="AS139" s="67"/>
      <c r="AT139" s="67"/>
      <c r="AU139" s="67"/>
      <c r="AV139" s="68"/>
      <c r="AW139" s="2"/>
      <c r="AX139" s="2"/>
      <c r="AY139" s="2"/>
      <c r="AZ139" s="2"/>
      <c r="BA139" s="2"/>
      <c r="BB139" s="2"/>
      <c r="BC139" s="64"/>
      <c r="BD139" s="64"/>
      <c r="BE139" s="64"/>
      <c r="BF139" s="64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</row>
    <row r="140" spans="1:96" x14ac:dyDescent="0.25">
      <c r="A140" s="2"/>
      <c r="B140" s="2"/>
      <c r="C140" s="66"/>
      <c r="D140" s="67"/>
      <c r="E140" s="67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8"/>
      <c r="Y140" s="2"/>
      <c r="Z140" s="2"/>
      <c r="AA140" s="66"/>
      <c r="AB140" s="67"/>
      <c r="AC140" s="67"/>
      <c r="AD140" s="67"/>
      <c r="AE140" s="67"/>
      <c r="AF140" s="67"/>
      <c r="AG140" s="67"/>
      <c r="AH140" s="67"/>
      <c r="AI140" s="67"/>
      <c r="AJ140" s="67"/>
      <c r="AK140" s="67"/>
      <c r="AL140" s="67"/>
      <c r="AM140" s="67"/>
      <c r="AN140" s="67"/>
      <c r="AO140" s="67"/>
      <c r="AP140" s="67"/>
      <c r="AQ140" s="67"/>
      <c r="AR140" s="67"/>
      <c r="AS140" s="67"/>
      <c r="AT140" s="67"/>
      <c r="AU140" s="67"/>
      <c r="AV140" s="68"/>
      <c r="AW140" s="2"/>
      <c r="AX140" s="2"/>
      <c r="AY140" s="2"/>
      <c r="AZ140" s="2"/>
      <c r="BA140" s="2"/>
      <c r="BB140" s="2"/>
      <c r="BC140" s="64"/>
      <c r="BD140" s="64"/>
      <c r="BE140" s="64"/>
      <c r="BF140" s="64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</row>
    <row r="141" spans="1:96" x14ac:dyDescent="0.25">
      <c r="A141" s="2"/>
      <c r="B141" s="2"/>
      <c r="C141" s="66"/>
      <c r="D141" s="67"/>
      <c r="E141" s="67"/>
      <c r="F141" s="67"/>
      <c r="G141" s="67"/>
      <c r="H141" s="67"/>
      <c r="I141" s="67"/>
      <c r="J141" s="67"/>
      <c r="K141" s="67"/>
      <c r="L141" s="67"/>
      <c r="M141" s="67"/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8"/>
      <c r="Y141" s="2"/>
      <c r="Z141" s="2"/>
      <c r="AA141" s="66"/>
      <c r="AB141" s="67"/>
      <c r="AC141" s="67"/>
      <c r="AD141" s="67"/>
      <c r="AE141" s="67"/>
      <c r="AF141" s="67"/>
      <c r="AG141" s="67"/>
      <c r="AH141" s="67"/>
      <c r="AI141" s="67"/>
      <c r="AJ141" s="67"/>
      <c r="AK141" s="67"/>
      <c r="AL141" s="67"/>
      <c r="AM141" s="67"/>
      <c r="AN141" s="67"/>
      <c r="AO141" s="67"/>
      <c r="AP141" s="67"/>
      <c r="AQ141" s="67"/>
      <c r="AR141" s="67"/>
      <c r="AS141" s="67"/>
      <c r="AT141" s="67"/>
      <c r="AU141" s="67"/>
      <c r="AV141" s="68"/>
      <c r="AW141" s="2"/>
      <c r="AX141" s="2"/>
      <c r="AY141" s="2"/>
      <c r="AZ141" s="2"/>
      <c r="BA141" s="2"/>
      <c r="BB141" s="11"/>
      <c r="BC141" s="60"/>
      <c r="BD141" s="60"/>
      <c r="BE141" s="60"/>
      <c r="BF141" s="60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</row>
    <row r="142" spans="1:96" x14ac:dyDescent="0.25">
      <c r="A142" s="2"/>
      <c r="B142" s="2"/>
      <c r="C142" s="58"/>
      <c r="D142" s="66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58"/>
      <c r="Y142" s="69"/>
      <c r="Z142" s="69"/>
      <c r="AA142" s="58"/>
      <c r="AB142" s="66"/>
      <c r="AC142" s="66"/>
      <c r="AD142" s="66"/>
      <c r="AE142" s="66"/>
      <c r="AF142" s="66"/>
      <c r="AG142" s="66"/>
      <c r="AH142" s="66"/>
      <c r="AI142" s="66"/>
      <c r="AJ142" s="66"/>
      <c r="AK142" s="66"/>
      <c r="AL142" s="66"/>
      <c r="AM142" s="66"/>
      <c r="AN142" s="66"/>
      <c r="AO142" s="66"/>
      <c r="AP142" s="66"/>
      <c r="AQ142" s="66"/>
      <c r="AR142" s="66"/>
      <c r="AS142" s="66"/>
      <c r="AT142" s="66"/>
      <c r="AU142" s="66"/>
      <c r="AV142" s="58"/>
      <c r="AW142" s="2"/>
      <c r="AX142" s="2"/>
      <c r="AY142" s="2"/>
      <c r="AZ142" s="2"/>
      <c r="BA142" s="2"/>
      <c r="BB142" s="11"/>
      <c r="BC142" s="60"/>
      <c r="BD142" s="60"/>
      <c r="BE142" s="60"/>
      <c r="BF142" s="60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</row>
    <row r="143" spans="1:96" x14ac:dyDescent="0.25">
      <c r="A143" s="2"/>
      <c r="B143" s="2"/>
      <c r="C143" s="58"/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2"/>
      <c r="Y143" s="2"/>
      <c r="Z143" s="2"/>
      <c r="AA143" s="58"/>
      <c r="AB143" s="66"/>
      <c r="AC143" s="66"/>
      <c r="AD143" s="66"/>
      <c r="AE143" s="66"/>
      <c r="AF143" s="66"/>
      <c r="AG143" s="66"/>
      <c r="AH143" s="66"/>
      <c r="AI143" s="66"/>
      <c r="AJ143" s="66"/>
      <c r="AK143" s="66"/>
      <c r="AL143" s="66"/>
      <c r="AM143" s="66"/>
      <c r="AN143" s="66"/>
      <c r="AO143" s="66"/>
      <c r="AP143" s="66"/>
      <c r="AQ143" s="66"/>
      <c r="AR143" s="66"/>
      <c r="AS143" s="66"/>
      <c r="AT143" s="66"/>
      <c r="AU143" s="66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</row>
    <row r="144" spans="1:96" ht="15.75" x14ac:dyDescent="0.25">
      <c r="A144" s="2"/>
      <c r="B144" s="2"/>
      <c r="C144" s="2"/>
      <c r="D144" s="2"/>
      <c r="E144" s="2"/>
      <c r="F144" s="70"/>
      <c r="G144" s="70"/>
      <c r="H144" s="70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</row>
    <row r="145" spans="1:96" ht="15.75" x14ac:dyDescent="0.25">
      <c r="A145" s="2"/>
      <c r="B145" s="2"/>
      <c r="C145" s="2"/>
      <c r="D145" s="117"/>
      <c r="E145" s="117"/>
      <c r="F145" s="70"/>
      <c r="G145" s="70"/>
      <c r="H145" s="70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117"/>
      <c r="AC145" s="117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</row>
    <row r="146" spans="1:96" ht="15.75" x14ac:dyDescent="0.25">
      <c r="A146" s="2"/>
      <c r="B146" s="2"/>
      <c r="C146" s="2"/>
      <c r="D146" s="70"/>
      <c r="E146" s="70"/>
      <c r="F146" s="64"/>
      <c r="G146" s="64"/>
      <c r="H146" s="64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70"/>
      <c r="AC146" s="70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</row>
    <row r="147" spans="1:96" x14ac:dyDescent="0.25">
      <c r="A147" s="2"/>
      <c r="B147" s="2"/>
      <c r="C147" s="2"/>
      <c r="D147" s="64"/>
      <c r="E147" s="64"/>
      <c r="F147" s="64"/>
      <c r="G147" s="64"/>
      <c r="H147" s="64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64"/>
      <c r="AC147" s="64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</row>
    <row r="148" spans="1:96" x14ac:dyDescent="0.25">
      <c r="A148" s="2"/>
      <c r="B148" s="2"/>
      <c r="C148" s="2"/>
      <c r="D148" s="64"/>
      <c r="E148" s="64"/>
      <c r="F148" s="64"/>
      <c r="G148" s="64"/>
      <c r="H148" s="64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64"/>
      <c r="AC148" s="64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118"/>
      <c r="BD148" s="118"/>
      <c r="BE148" s="118"/>
      <c r="BF148" s="118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</row>
    <row r="149" spans="1:96" ht="15.75" x14ac:dyDescent="0.25">
      <c r="A149" s="2"/>
      <c r="B149" s="2"/>
      <c r="C149" s="2"/>
      <c r="D149" s="64"/>
      <c r="E149" s="64"/>
      <c r="F149" s="64"/>
      <c r="G149" s="64"/>
      <c r="H149" s="64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64"/>
      <c r="AC149" s="64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70"/>
      <c r="BD149" s="70"/>
      <c r="BE149" s="70"/>
      <c r="BF149" s="70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</row>
    <row r="150" spans="1:96" x14ac:dyDescent="0.25">
      <c r="A150" s="2"/>
      <c r="B150" s="2"/>
      <c r="C150" s="2"/>
      <c r="D150" s="64"/>
      <c r="E150" s="64"/>
      <c r="F150" s="64"/>
      <c r="G150" s="64"/>
      <c r="H150" s="64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64"/>
      <c r="AC150" s="64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</row>
    <row r="151" spans="1:96" x14ac:dyDescent="0.25">
      <c r="A151" s="2"/>
      <c r="B151" s="2"/>
      <c r="C151" s="2"/>
      <c r="D151" s="64"/>
      <c r="E151" s="64"/>
      <c r="F151" s="64"/>
      <c r="G151" s="64"/>
      <c r="H151" s="64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64"/>
      <c r="AC151" s="64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</row>
    <row r="152" spans="1:96" x14ac:dyDescent="0.25">
      <c r="A152" s="2"/>
      <c r="B152" s="2"/>
      <c r="C152" s="2"/>
      <c r="D152" s="64"/>
      <c r="E152" s="64"/>
      <c r="F152" s="64"/>
      <c r="G152" s="64"/>
      <c r="H152" s="64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64"/>
      <c r="AC152" s="64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</row>
    <row r="153" spans="1:96" x14ac:dyDescent="0.25">
      <c r="A153" s="2"/>
      <c r="B153" s="2"/>
      <c r="C153" s="2"/>
      <c r="D153" s="64"/>
      <c r="E153" s="64"/>
      <c r="F153" s="64"/>
      <c r="G153" s="64"/>
      <c r="H153" s="64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64"/>
      <c r="AC153" s="64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118"/>
      <c r="BD153" s="118"/>
      <c r="BE153" s="118"/>
      <c r="BF153" s="118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</row>
    <row r="154" spans="1:96" ht="15.75" x14ac:dyDescent="0.25">
      <c r="A154" s="2"/>
      <c r="B154" s="2"/>
      <c r="C154" s="2"/>
      <c r="D154" s="64"/>
      <c r="E154" s="64"/>
      <c r="F154" s="64"/>
      <c r="G154" s="64"/>
      <c r="H154" s="64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64"/>
      <c r="AC154" s="64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70"/>
      <c r="BD154" s="70"/>
      <c r="BE154" s="70"/>
      <c r="BF154" s="70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</row>
    <row r="155" spans="1:96" x14ac:dyDescent="0.25">
      <c r="A155" s="2"/>
      <c r="B155" s="2"/>
      <c r="C155" s="2"/>
      <c r="D155" s="64"/>
      <c r="E155" s="64"/>
      <c r="F155" s="64"/>
      <c r="G155" s="64"/>
      <c r="H155" s="64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64"/>
      <c r="AC155" s="64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</row>
    <row r="156" spans="1:96" x14ac:dyDescent="0.25">
      <c r="A156" s="2"/>
      <c r="B156" s="2"/>
      <c r="C156" s="2"/>
      <c r="D156" s="64"/>
      <c r="E156" s="64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64"/>
      <c r="AC156" s="64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</row>
    <row r="157" spans="1:96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</row>
    <row r="158" spans="1:96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</row>
    <row r="159" spans="1:96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</row>
    <row r="160" spans="1:96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</row>
    <row r="161" spans="1:96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</row>
    <row r="162" spans="1:96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</row>
    <row r="163" spans="1:96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</row>
    <row r="164" spans="1:96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</row>
  </sheetData>
  <mergeCells count="67">
    <mergeCell ref="C1:CF1"/>
    <mergeCell ref="AY23:BS24"/>
    <mergeCell ref="C23:W24"/>
    <mergeCell ref="AA27:AT28"/>
    <mergeCell ref="BJ70:BS70"/>
    <mergeCell ref="BX70:CG70"/>
    <mergeCell ref="AB54:AS54"/>
    <mergeCell ref="AY6:BR6"/>
    <mergeCell ref="AA6:AT6"/>
    <mergeCell ref="C6:V6"/>
    <mergeCell ref="C19:V19"/>
    <mergeCell ref="AY19:BR19"/>
    <mergeCell ref="AA19:AT19"/>
    <mergeCell ref="AZ30:BS30"/>
    <mergeCell ref="AZ31:BS31"/>
    <mergeCell ref="AZ32:BS32"/>
    <mergeCell ref="CH70:CQ70"/>
    <mergeCell ref="C20:W22"/>
    <mergeCell ref="AA20:AU22"/>
    <mergeCell ref="AY20:BS22"/>
    <mergeCell ref="C25:D26"/>
    <mergeCell ref="AE25:AF25"/>
    <mergeCell ref="AV25:AW25"/>
    <mergeCell ref="BP25:BQ26"/>
    <mergeCell ref="AH55:AK55"/>
    <mergeCell ref="D70:M70"/>
    <mergeCell ref="N70:W70"/>
    <mergeCell ref="AB70:AK70"/>
    <mergeCell ref="AL70:AU70"/>
    <mergeCell ref="AZ70:BI70"/>
    <mergeCell ref="AZ33:BS33"/>
    <mergeCell ref="AZ84:BT86"/>
    <mergeCell ref="BX84:CR86"/>
    <mergeCell ref="P88:Y88"/>
    <mergeCell ref="E89:O89"/>
    <mergeCell ref="Z89:AJ89"/>
    <mergeCell ref="AZ89:BA89"/>
    <mergeCell ref="BC89:BD89"/>
    <mergeCell ref="BG89:BH89"/>
    <mergeCell ref="BJ89:BK89"/>
    <mergeCell ref="Z91:AA91"/>
    <mergeCell ref="AB91:AC91"/>
    <mergeCell ref="AG91:AH91"/>
    <mergeCell ref="AI91:AJ91"/>
    <mergeCell ref="D84:X86"/>
    <mergeCell ref="AB84:AV86"/>
    <mergeCell ref="AZ90:BA90"/>
    <mergeCell ref="BC90:BD90"/>
    <mergeCell ref="BG90:BH90"/>
    <mergeCell ref="BJ90:BK90"/>
    <mergeCell ref="BC153:BD153"/>
    <mergeCell ref="BE153:BF153"/>
    <mergeCell ref="BK131:BK132"/>
    <mergeCell ref="BK129:BK130"/>
    <mergeCell ref="E92:F92"/>
    <mergeCell ref="G92:H92"/>
    <mergeCell ref="L92:M92"/>
    <mergeCell ref="N92:O92"/>
    <mergeCell ref="A126:CR126"/>
    <mergeCell ref="D145:E145"/>
    <mergeCell ref="AB145:AC145"/>
    <mergeCell ref="BC148:BD148"/>
    <mergeCell ref="BE148:BF148"/>
    <mergeCell ref="D128:W130"/>
    <mergeCell ref="AB128:AU130"/>
    <mergeCell ref="BC129:BD129"/>
    <mergeCell ref="BE129:BF129"/>
  </mergeCells>
  <conditionalFormatting sqref="C7:V16">
    <cfRule type="colorScale" priority="19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AA7:AT16">
    <cfRule type="colorScale" priority="18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AY7:BR16">
    <cfRule type="colorScale" priority="17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D71:W80">
    <cfRule type="colorScale" priority="16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AB71:AU80">
    <cfRule type="colorScale" priority="15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AZ71:BS80">
    <cfRule type="colorScale" priority="14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BX71:CQ80">
    <cfRule type="colorScale" priority="13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AB132:AT141">
    <cfRule type="colorScale" priority="12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D132:W141">
    <cfRule type="colorScale" priority="1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AB132:AU141">
    <cfRule type="colorScale" priority="10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W40:X40">
    <cfRule type="colorScale" priority="7">
      <colorScale>
        <cfvo type="min"/>
        <cfvo type="max"/>
        <color rgb="FF63BE7B"/>
        <color rgb="FFFCFCFF"/>
      </colorScale>
    </cfRule>
  </conditionalFormatting>
  <conditionalFormatting sqref="W41:X41">
    <cfRule type="colorScale" priority="6">
      <colorScale>
        <cfvo type="min"/>
        <cfvo type="max"/>
        <color rgb="FF63BE7B"/>
        <color rgb="FFFCFCFF"/>
      </colorScale>
    </cfRule>
  </conditionalFormatting>
  <conditionalFormatting sqref="W42:X42">
    <cfRule type="colorScale" priority="9">
      <colorScale>
        <cfvo type="min"/>
        <cfvo type="max"/>
        <color rgb="FFFCFCFF"/>
        <color rgb="FFF8696B"/>
      </colorScale>
    </cfRule>
  </conditionalFormatting>
  <conditionalFormatting sqref="W43:X43">
    <cfRule type="colorScale" priority="8">
      <colorScale>
        <cfvo type="min"/>
        <cfvo type="max"/>
        <color rgb="FFFCFCFF"/>
        <color rgb="FFF8696B"/>
      </colorScale>
    </cfRule>
  </conditionalFormatting>
  <conditionalFormatting sqref="CB27:CU36">
    <cfRule type="colorScale" priority="5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CB39:CU48">
    <cfRule type="colorScale" priority="4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CB51:CU60">
    <cfRule type="colorScale" priority="3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AA29:AT38">
    <cfRule type="colorScale" priority="2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CZ4:CZ10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scale="27" orientation="portrait" verticalDpi="599" r:id="rId1"/>
  <drawing r:id="rId2"/>
  <legacyDrawing r:id="rId3"/>
  <controls>
    <mc:AlternateContent xmlns:mc="http://schemas.openxmlformats.org/markup-compatibility/2006">
      <mc:Choice Requires="x14">
        <control shapeId="15362" r:id="rId4" name="ScrollBar1">
          <controlPr defaultSize="0" autoLine="0" r:id="rId5">
            <anchor moveWithCells="1">
              <from>
                <xdr:col>25</xdr:col>
                <xdr:colOff>200025</xdr:colOff>
                <xdr:row>23</xdr:row>
                <xdr:rowOff>76200</xdr:rowOff>
              </from>
              <to>
                <xdr:col>47</xdr:col>
                <xdr:colOff>200025</xdr:colOff>
                <xdr:row>24</xdr:row>
                <xdr:rowOff>142875</xdr:rowOff>
              </to>
            </anchor>
          </controlPr>
        </control>
      </mc:Choice>
      <mc:Fallback>
        <control shapeId="15362" r:id="rId4" name="ScrollBar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0.79998168889431442"/>
  </sheetPr>
  <dimension ref="B1:CE104"/>
  <sheetViews>
    <sheetView showGridLines="0" workbookViewId="0">
      <selection activeCell="B38" sqref="B38:G39"/>
    </sheetView>
  </sheetViews>
  <sheetFormatPr defaultRowHeight="15" x14ac:dyDescent="0.25"/>
  <cols>
    <col min="9" max="13" width="13.42578125" style="55" customWidth="1"/>
    <col min="14" max="18" width="13.42578125" style="56" customWidth="1"/>
  </cols>
  <sheetData>
    <row r="1" spans="2:83" ht="29.25" customHeight="1" x14ac:dyDescent="0.25">
      <c r="B1" s="149" t="s">
        <v>26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  <c r="BF1" s="149"/>
      <c r="BG1" s="149"/>
      <c r="BH1" s="149"/>
      <c r="BI1" s="149"/>
      <c r="BJ1" s="149"/>
      <c r="BK1" s="149"/>
      <c r="BL1" s="149"/>
      <c r="BM1" s="149"/>
      <c r="BN1" s="149"/>
      <c r="BO1" s="149"/>
      <c r="BP1" s="149"/>
      <c r="BQ1" s="149"/>
      <c r="BR1" s="149"/>
      <c r="BS1" s="149"/>
      <c r="BT1" s="149"/>
      <c r="BU1" s="149"/>
      <c r="BV1" s="149"/>
      <c r="BW1" s="149"/>
      <c r="BX1" s="149"/>
      <c r="BY1" s="149"/>
      <c r="BZ1" s="149"/>
      <c r="CA1" s="149"/>
      <c r="CB1" s="149"/>
      <c r="CC1" s="149"/>
      <c r="CD1" s="149"/>
      <c r="CE1" s="149"/>
    </row>
    <row r="2" spans="2:83" x14ac:dyDescent="0.25">
      <c r="I2" s="89" t="s">
        <v>23</v>
      </c>
      <c r="J2" s="89" t="s">
        <v>23</v>
      </c>
      <c r="K2" s="89" t="s">
        <v>23</v>
      </c>
      <c r="L2" s="89" t="s">
        <v>23</v>
      </c>
      <c r="M2" s="89" t="s">
        <v>23</v>
      </c>
      <c r="N2" s="89" t="s">
        <v>24</v>
      </c>
      <c r="O2" s="89" t="s">
        <v>24</v>
      </c>
      <c r="P2" s="89" t="s">
        <v>24</v>
      </c>
      <c r="Q2" s="89" t="s">
        <v>24</v>
      </c>
      <c r="R2" s="89" t="s">
        <v>24</v>
      </c>
      <c r="S2" s="90" t="s">
        <v>25</v>
      </c>
      <c r="T2" s="90" t="s">
        <v>1</v>
      </c>
    </row>
    <row r="3" spans="2:83" hidden="1" x14ac:dyDescent="0.25"/>
    <row r="4" spans="2:83" x14ac:dyDescent="0.25">
      <c r="I4" s="55">
        <v>0.48562960861114968</v>
      </c>
      <c r="J4" s="55">
        <v>0.45925439538896745</v>
      </c>
      <c r="K4" s="55">
        <v>0.56289421427056119</v>
      </c>
      <c r="L4" s="55">
        <v>0.60105926530906384</v>
      </c>
      <c r="M4" s="55">
        <v>0.80794576998809031</v>
      </c>
      <c r="N4" s="56">
        <v>0.76119985186127548</v>
      </c>
      <c r="O4" s="56">
        <v>0.62090875769764942</v>
      </c>
      <c r="P4" s="56">
        <v>0.62478882149719095</v>
      </c>
      <c r="Q4" s="56">
        <v>0.62324338779469324</v>
      </c>
      <c r="R4" s="56">
        <v>0.8133670011244527</v>
      </c>
      <c r="S4">
        <f t="shared" ref="S4:S35" si="0">AVERAGE(I4:R4)</f>
        <v>0.63602910735430951</v>
      </c>
      <c r="T4">
        <f>STDEV(I4:R4)</f>
        <v>0.12366223568638968</v>
      </c>
    </row>
    <row r="5" spans="2:83" x14ac:dyDescent="0.25">
      <c r="I5" s="55">
        <v>0.48672833578618308</v>
      </c>
      <c r="J5" s="55">
        <v>0.46021370389573363</v>
      </c>
      <c r="K5" s="55">
        <v>0.56367603106539166</v>
      </c>
      <c r="L5" s="55">
        <v>0.60220442360459703</v>
      </c>
      <c r="M5" s="55">
        <v>0.80890797416093119</v>
      </c>
      <c r="N5" s="56">
        <v>0.76206785279999456</v>
      </c>
      <c r="O5" s="56">
        <v>0.62170502973393826</v>
      </c>
      <c r="P5" s="56">
        <v>0.62600884095638554</v>
      </c>
      <c r="Q5" s="56">
        <v>0.62436365742156685</v>
      </c>
      <c r="R5" s="56">
        <v>0.81367599882515862</v>
      </c>
      <c r="S5">
        <f t="shared" si="0"/>
        <v>0.63695518482498792</v>
      </c>
      <c r="T5">
        <f t="shared" ref="T5:T68" si="1">STDEV(I5:R5)</f>
        <v>0.12353372495898314</v>
      </c>
    </row>
    <row r="6" spans="2:83" x14ac:dyDescent="0.25">
      <c r="I6" s="55">
        <v>0.48783104142263822</v>
      </c>
      <c r="J6" s="55">
        <v>0.46117611175075257</v>
      </c>
      <c r="K6" s="55">
        <v>0.56445854409607754</v>
      </c>
      <c r="L6" s="55">
        <v>0.60335274050916599</v>
      </c>
      <c r="M6" s="55">
        <v>0.80986999023273476</v>
      </c>
      <c r="N6" s="56">
        <v>0.76293539532621324</v>
      </c>
      <c r="O6" s="56">
        <v>0.62250157589823962</v>
      </c>
      <c r="P6" s="56">
        <v>0.62723238289559546</v>
      </c>
      <c r="Q6" s="56">
        <v>0.62548666579638768</v>
      </c>
      <c r="R6" s="56">
        <v>0.8139802459584089</v>
      </c>
      <c r="S6">
        <f t="shared" si="0"/>
        <v>0.63788246938862136</v>
      </c>
      <c r="T6">
        <f t="shared" si="1"/>
        <v>0.12340356718424816</v>
      </c>
    </row>
    <row r="7" spans="2:83" x14ac:dyDescent="0.25">
      <c r="I7" s="55">
        <v>0.48893770911338696</v>
      </c>
      <c r="J7" s="55">
        <v>0.46214159772277863</v>
      </c>
      <c r="K7" s="55">
        <v>0.5652417022995555</v>
      </c>
      <c r="L7" s="55">
        <v>0.60450418069267764</v>
      </c>
      <c r="M7" s="55">
        <v>0.81083173607738124</v>
      </c>
      <c r="N7" s="56">
        <v>0.76380240002682431</v>
      </c>
      <c r="O7" s="56">
        <v>0.62329833615735075</v>
      </c>
      <c r="P7" s="56">
        <v>0.62845941257914695</v>
      </c>
      <c r="Q7" s="56">
        <v>0.62661237187655472</v>
      </c>
      <c r="R7" s="56">
        <v>0.81427962961038636</v>
      </c>
      <c r="S7">
        <f t="shared" si="0"/>
        <v>0.63881090761560433</v>
      </c>
      <c r="T7">
        <f t="shared" si="1"/>
        <v>0.12327174532784002</v>
      </c>
    </row>
    <row r="8" spans="2:83" x14ac:dyDescent="0.25">
      <c r="I8" s="55">
        <v>0.49004832139252763</v>
      </c>
      <c r="J8" s="55">
        <v>0.46311013954751068</v>
      </c>
      <c r="K8" s="55">
        <v>0.56602545323984332</v>
      </c>
      <c r="L8" s="55">
        <v>0.60565870743479366</v>
      </c>
      <c r="M8" s="55">
        <v>0.81179312757579658</v>
      </c>
      <c r="N8" s="56">
        <v>0.7646687856070884</v>
      </c>
      <c r="O8" s="56">
        <v>0.62409524895353008</v>
      </c>
      <c r="P8" s="56">
        <v>0.6296898938359049</v>
      </c>
      <c r="Q8" s="56">
        <v>0.62774073315749224</v>
      </c>
      <c r="R8" s="56">
        <v>0.81457403486610969</v>
      </c>
      <c r="S8">
        <f t="shared" si="0"/>
        <v>0.63974044456105972</v>
      </c>
      <c r="T8">
        <f t="shared" si="1"/>
        <v>0.12313824225740717</v>
      </c>
    </row>
    <row r="9" spans="2:83" x14ac:dyDescent="0.25">
      <c r="I9" s="55">
        <v>0.49116285970722945</v>
      </c>
      <c r="J9" s="55">
        <v>0.46408171390157454</v>
      </c>
      <c r="K9" s="55">
        <v>0.56680974307976628</v>
      </c>
      <c r="L9" s="55">
        <v>0.60681628259176335</v>
      </c>
      <c r="M9" s="55">
        <v>0.81275407857710447</v>
      </c>
      <c r="N9" s="56">
        <v>0.76553446885447007</v>
      </c>
      <c r="O9" s="56">
        <v>0.62489225117400915</v>
      </c>
      <c r="P9" s="56">
        <v>0.63092378902456969</v>
      </c>
      <c r="Q9" s="56">
        <v>0.62887170563887684</v>
      </c>
      <c r="R9" s="56">
        <v>0.8148633447788165</v>
      </c>
      <c r="S9">
        <f t="shared" si="0"/>
        <v>0.64067102373281803</v>
      </c>
      <c r="T9">
        <f t="shared" si="1"/>
        <v>0.12300304074533995</v>
      </c>
    </row>
    <row r="10" spans="2:83" x14ac:dyDescent="0.25">
      <c r="I10" s="55">
        <v>0.49228130438898754</v>
      </c>
      <c r="J10" s="55">
        <v>0.46505629637597073</v>
      </c>
      <c r="K10" s="55">
        <v>0.56759451655219484</v>
      </c>
      <c r="L10" s="55">
        <v>0.60797686656263517</v>
      </c>
      <c r="M10" s="55">
        <v>0.81371450085917485</v>
      </c>
      <c r="N10" s="56">
        <v>0.76639936460193658</v>
      </c>
      <c r="O10" s="56">
        <v>0.62568927812002018</v>
      </c>
      <c r="P10" s="56">
        <v>0.63216105899826369</v>
      </c>
      <c r="Q10" s="56">
        <v>0.63000524379019907</v>
      </c>
      <c r="R10" s="56">
        <v>0.81514744033906716</v>
      </c>
      <c r="S10">
        <f t="shared" si="0"/>
        <v>0.6416025870588451</v>
      </c>
      <c r="T10">
        <f t="shared" si="1"/>
        <v>0.12286612347169532</v>
      </c>
    </row>
    <row r="11" spans="2:83" x14ac:dyDescent="0.25">
      <c r="I11" s="55">
        <v>0.49340363462426851</v>
      </c>
      <c r="J11" s="55">
        <v>0.46603386144896819</v>
      </c>
      <c r="K11" s="55">
        <v>0.56837971693081113</v>
      </c>
      <c r="L11" s="55">
        <v>0.60914041825478393</v>
      </c>
      <c r="M11" s="55">
        <v>0.81467430408855668</v>
      </c>
      <c r="N11" s="56">
        <v>0.76726338569067598</v>
      </c>
      <c r="O11" s="56">
        <v>0.62648626347531478</v>
      </c>
      <c r="P11" s="56">
        <v>0.63340166306844081</v>
      </c>
      <c r="Q11" s="56">
        <v>0.63114130051567197</v>
      </c>
      <c r="R11" s="56">
        <v>0.81542620044354175</v>
      </c>
      <c r="S11">
        <f t="shared" si="0"/>
        <v>0.64253507485410355</v>
      </c>
      <c r="T11">
        <f t="shared" si="1"/>
        <v>0.12272747302729044</v>
      </c>
    </row>
    <row r="12" spans="2:83" x14ac:dyDescent="0.25">
      <c r="I12" s="55">
        <v>0.49452982842451648</v>
      </c>
      <c r="J12" s="55">
        <v>0.46701438245846205</v>
      </c>
      <c r="K12" s="55">
        <v>0.56916528600038863</v>
      </c>
      <c r="L12" s="55">
        <v>0.61030689504877922</v>
      </c>
      <c r="M12" s="55">
        <v>0.81563339577979055</v>
      </c>
      <c r="N12" s="56">
        <v>0.76812644293226551</v>
      </c>
      <c r="O12" s="56">
        <v>0.62728313927418689</v>
      </c>
      <c r="P12" s="56">
        <v>0.63464555896806873</v>
      </c>
      <c r="Q12" s="56">
        <v>0.6322798271184833</v>
      </c>
      <c r="R12" s="56">
        <v>0.81569950186354523</v>
      </c>
      <c r="S12">
        <f t="shared" si="0"/>
        <v>0.64346842578684871</v>
      </c>
      <c r="T12">
        <f t="shared" si="1"/>
        <v>0.12258707191697947</v>
      </c>
    </row>
    <row r="13" spans="2:83" x14ac:dyDescent="0.25">
      <c r="I13" s="55">
        <v>0.49565986259554828</v>
      </c>
      <c r="J13" s="55">
        <v>0.46799783157376479</v>
      </c>
      <c r="K13" s="55">
        <v>0.56995116402658164</v>
      </c>
      <c r="L13" s="55">
        <v>0.61147625276258244</v>
      </c>
      <c r="M13" s="55">
        <v>0.81659168125410475</v>
      </c>
      <c r="N13" s="56">
        <v>0.76898844507026665</v>
      </c>
      <c r="O13" s="56">
        <v>0.62807983586898308</v>
      </c>
      <c r="P13" s="56">
        <v>0.63589270281410859</v>
      </c>
      <c r="Q13" s="56">
        <v>0.63342077326438517</v>
      </c>
      <c r="R13" s="56">
        <v>0.81596721921323334</v>
      </c>
      <c r="S13">
        <f t="shared" si="0"/>
        <v>0.64440257684435587</v>
      </c>
      <c r="T13">
        <f t="shared" si="1"/>
        <v>0.12244490256311227</v>
      </c>
    </row>
    <row r="14" spans="2:83" x14ac:dyDescent="0.25">
      <c r="I14" s="55">
        <v>0.49679371270629136</v>
      </c>
      <c r="J14" s="55">
        <v>0.46898417976683071</v>
      </c>
      <c r="K14" s="55">
        <v>0.57073728972521376</v>
      </c>
      <c r="L14" s="55">
        <v>0.61264844561504717</v>
      </c>
      <c r="M14" s="55">
        <v>0.81754906359748369</v>
      </c>
      <c r="N14" s="56">
        <v>0.76984929874125574</v>
      </c>
      <c r="O14" s="56">
        <v>0.62887628189710643</v>
      </c>
      <c r="P14" s="56">
        <v>0.63714304906925001</v>
      </c>
      <c r="Q14" s="56">
        <v>0.63456408694459254</v>
      </c>
      <c r="R14" s="56">
        <v>0.81622922491754879</v>
      </c>
      <c r="S14">
        <f t="shared" si="0"/>
        <v>0.64533746329806196</v>
      </c>
      <c r="T14">
        <f t="shared" si="1"/>
        <v>0.12230094730920124</v>
      </c>
    </row>
    <row r="15" spans="2:83" x14ac:dyDescent="0.25">
      <c r="I15" s="55">
        <v>0.49793135305687725</v>
      </c>
      <c r="J15" s="55">
        <v>0.46997339678290878</v>
      </c>
      <c r="K15" s="55">
        <v>0.57152360023109017</v>
      </c>
      <c r="L15" s="55">
        <v>0.6138234261887362</v>
      </c>
      <c r="M15" s="55">
        <v>0.81850544361811395</v>
      </c>
      <c r="N15" s="56">
        <v>0.77070890843528828</v>
      </c>
      <c r="O15" s="56">
        <v>0.6296724042475137</v>
      </c>
      <c r="P15" s="56">
        <v>0.63839655050292599</v>
      </c>
      <c r="Q15" s="56">
        <v>0.63570971443801161</v>
      </c>
      <c r="R15" s="56">
        <v>0.81648538917989177</v>
      </c>
      <c r="S15">
        <f t="shared" si="0"/>
        <v>0.6462730186681358</v>
      </c>
      <c r="T15">
        <f t="shared" si="1"/>
        <v>0.1221551884237761</v>
      </c>
    </row>
    <row r="16" spans="2:83" x14ac:dyDescent="0.25">
      <c r="I16" s="55">
        <v>0.4990727566460742</v>
      </c>
      <c r="J16" s="55">
        <v>0.47096545111060967</v>
      </c>
      <c r="K16" s="55">
        <v>0.5723100310662893</v>
      </c>
      <c r="L16" s="55">
        <v>0.61500114539202422</v>
      </c>
      <c r="M16" s="55">
        <v>0.81946071980319379</v>
      </c>
      <c r="N16" s="56">
        <v>0.7715671764557801</v>
      </c>
      <c r="O16" s="56">
        <v>0.63046812802668817</v>
      </c>
      <c r="P16" s="56">
        <v>0.63965315815156976</v>
      </c>
      <c r="Q16" s="56">
        <v>0.63685760027277116</v>
      </c>
      <c r="R16" s="56">
        <v>0.81673557994952684</v>
      </c>
      <c r="S16">
        <f t="shared" si="0"/>
        <v>0.64720917468745276</v>
      </c>
      <c r="T16">
        <f t="shared" si="1"/>
        <v>0.12200760810445961</v>
      </c>
    </row>
    <row r="17" spans="9:20" x14ac:dyDescent="0.25">
      <c r="I17" s="55">
        <v>0.50021789513804582</v>
      </c>
      <c r="J17" s="55">
        <v>0.47196030995139032</v>
      </c>
      <c r="K17" s="55">
        <v>0.57309651610796852</v>
      </c>
      <c r="L17" s="55">
        <v>0.6161815524205051</v>
      </c>
      <c r="M17" s="55">
        <v>0.82041478827512138</v>
      </c>
      <c r="N17" s="56">
        <v>0.77242400287883961</v>
      </c>
      <c r="O17" s="56">
        <v>0.63126337652410824</v>
      </c>
      <c r="P17" s="56">
        <v>0.64091282127812332</v>
      </c>
      <c r="Q17" s="56">
        <v>0.63800768718704959</v>
      </c>
      <c r="R17" s="56">
        <v>0.81697966288872725</v>
      </c>
      <c r="S17">
        <f t="shared" si="0"/>
        <v>0.64814586126498785</v>
      </c>
      <c r="T17">
        <f t="shared" si="1"/>
        <v>0.12185818848225259</v>
      </c>
    </row>
    <row r="18" spans="9:20" x14ac:dyDescent="0.25">
      <c r="I18" s="55">
        <v>0.5013667388284343</v>
      </c>
      <c r="J18" s="55">
        <v>0.47295793918843176</v>
      </c>
      <c r="K18" s="55">
        <v>0.57388298755565237</v>
      </c>
      <c r="L18" s="55">
        <v>0.61736459471767158</v>
      </c>
      <c r="M18" s="55">
        <v>0.82136754274705148</v>
      </c>
      <c r="N18" s="56">
        <v>0.77327928551199643</v>
      </c>
      <c r="O18" s="56">
        <v>0.63205807117718171</v>
      </c>
      <c r="P18" s="56">
        <v>0.64217548733078289</v>
      </c>
      <c r="Q18" s="56">
        <v>0.6391599160892083</v>
      </c>
      <c r="R18" s="56">
        <v>0.8172175013396713</v>
      </c>
      <c r="S18">
        <f t="shared" si="0"/>
        <v>0.64908300644860817</v>
      </c>
      <c r="T18">
        <f t="shared" si="1"/>
        <v>0.12170691162604304</v>
      </c>
    </row>
    <row r="19" spans="9:20" x14ac:dyDescent="0.25">
      <c r="I19" s="55">
        <v>0.50251925660975272</v>
      </c>
      <c r="J19" s="55">
        <v>0.47395830335492323</v>
      </c>
      <c r="K19" s="55">
        <v>0.57466937589803457</v>
      </c>
      <c r="L19" s="55">
        <v>0.61855021793487253</v>
      </c>
      <c r="M19" s="55">
        <v>0.82231887447781604</v>
      </c>
      <c r="N19" s="56">
        <v>0.77413291985240207</v>
      </c>
      <c r="O19" s="56">
        <v>0.63285213153568165</v>
      </c>
      <c r="P19" s="56">
        <v>0.64344110190096782</v>
      </c>
      <c r="Q19" s="56">
        <v>0.64031422601719923</v>
      </c>
      <c r="R19" s="56">
        <v>0.81744895629111036</v>
      </c>
      <c r="S19">
        <f t="shared" si="0"/>
        <v>0.65002053638727597</v>
      </c>
      <c r="T19">
        <f t="shared" si="1"/>
        <v>0.12155375954735972</v>
      </c>
    </row>
    <row r="20" spans="9:20" x14ac:dyDescent="0.25">
      <c r="I20" s="55">
        <v>0.50367541593607956</v>
      </c>
      <c r="J20" s="55">
        <v>0.47496136560172209</v>
      </c>
      <c r="K20" s="55">
        <v>0.57545560987924005</v>
      </c>
      <c r="L20" s="55">
        <v>0.61973836589053044</v>
      </c>
      <c r="M20" s="55">
        <v>0.82326867222621269</v>
      </c>
      <c r="N20" s="56">
        <v>0.77498479904439954</v>
      </c>
      <c r="O20" s="56">
        <v>0.63364547522564607</v>
      </c>
      <c r="P20" s="56">
        <v>0.6447096086805123</v>
      </c>
      <c r="Q20" s="56">
        <v>0.64147055409726461</v>
      </c>
      <c r="R20" s="56">
        <v>0.81767388634479188</v>
      </c>
      <c r="S20">
        <f t="shared" si="0"/>
        <v>0.65095837529264</v>
      </c>
      <c r="T20">
        <f t="shared" si="1"/>
        <v>0.12139871420535207</v>
      </c>
    </row>
    <row r="21" spans="9:20" x14ac:dyDescent="0.25">
      <c r="I21" s="55">
        <v>0.50483518278704465</v>
      </c>
      <c r="J21" s="55">
        <v>0.47596708766440682</v>
      </c>
      <c r="K21" s="55">
        <v>0.57624161646460548</v>
      </c>
      <c r="L21" s="55">
        <v>0.62092898052863066</v>
      </c>
      <c r="M21" s="55">
        <v>0.8242168222046633</v>
      </c>
      <c r="N21" s="56">
        <v>0.77583481383658359</v>
      </c>
      <c r="O21" s="56">
        <v>0.63443801791275733</v>
      </c>
      <c r="P21" s="56">
        <v>0.64598094941806994</v>
      </c>
      <c r="Q21" s="56">
        <v>0.64262883550190397</v>
      </c>
      <c r="R21" s="56">
        <v>0.81789214768167229</v>
      </c>
      <c r="S21">
        <f t="shared" si="0"/>
        <v>0.65189644540003377</v>
      </c>
      <c r="T21">
        <f t="shared" si="1"/>
        <v>0.12124175751202887</v>
      </c>
    </row>
    <row r="22" spans="9:20" x14ac:dyDescent="0.25">
      <c r="I22" s="55">
        <v>0.50599852163109793</v>
      </c>
      <c r="J22" s="55">
        <v>0.47697542982969587</v>
      </c>
      <c r="K22" s="55">
        <v>0.57702732080593799</v>
      </c>
      <c r="L22" s="55">
        <v>0.62212200187645128</v>
      </c>
      <c r="M22" s="55">
        <v>0.82516320803224996</v>
      </c>
      <c r="N22" s="56">
        <v>0.77668285253825109</v>
      </c>
      <c r="O22" s="56">
        <v>0.6352296732652104</v>
      </c>
      <c r="P22" s="56">
        <v>0.64725506387471421</v>
      </c>
      <c r="Q22" s="56">
        <v>0.64378900340710932</v>
      </c>
      <c r="R22" s="56">
        <v>0.81810359402792499</v>
      </c>
      <c r="S22">
        <f t="shared" si="0"/>
        <v>0.65283466692886427</v>
      </c>
      <c r="T22">
        <f t="shared" si="1"/>
        <v>0.12108287133775228</v>
      </c>
    </row>
    <row r="23" spans="9:20" x14ac:dyDescent="0.25">
      <c r="I23" s="55">
        <v>0.5071653953880576</v>
      </c>
      <c r="J23" s="55">
        <v>0.47798635090123975</v>
      </c>
      <c r="K23" s="55">
        <v>0.5778126462062495</v>
      </c>
      <c r="L23" s="55">
        <v>0.62331736800154913</v>
      </c>
      <c r="M23" s="55">
        <v>0.82610771068710276</v>
      </c>
      <c r="N23" s="56">
        <v>0.77752880097529609</v>
      </c>
      <c r="O23" s="56">
        <v>0.6360203529160473</v>
      </c>
      <c r="P23" s="56">
        <v>0.64853188977874732</v>
      </c>
      <c r="Q23" s="56">
        <v>0.64495098894886871</v>
      </c>
      <c r="R23" s="56">
        <v>0.81830807662075511</v>
      </c>
      <c r="S23">
        <f t="shared" si="0"/>
        <v>0.65377295804239133</v>
      </c>
      <c r="T23">
        <f t="shared" si="1"/>
        <v>0.12092203751700197</v>
      </c>
    </row>
    <row r="24" spans="9:20" x14ac:dyDescent="0.25">
      <c r="I24" s="55">
        <v>0.50833576539091763</v>
      </c>
      <c r="J24" s="55">
        <v>0.47899980816476778</v>
      </c>
      <c r="K24" s="55">
        <v>0.57859751408400073</v>
      </c>
      <c r="L24" s="55">
        <v>0.62451501496796658</v>
      </c>
      <c r="M24" s="55">
        <v>0.82705020845818422</v>
      </c>
      <c r="N24" s="56">
        <v>0.77837254244554077</v>
      </c>
      <c r="O24" s="56">
        <v>0.63680996642497656</v>
      </c>
      <c r="P24" s="56">
        <v>0.64981136277968876</v>
      </c>
      <c r="Q24" s="56">
        <v>0.64611472117891955</v>
      </c>
      <c r="R24" s="56">
        <v>0.81850544417401905</v>
      </c>
      <c r="S24">
        <f t="shared" si="0"/>
        <v>0.6547112348068983</v>
      </c>
      <c r="T24">
        <f t="shared" si="1"/>
        <v>0.1207592378544108</v>
      </c>
    </row>
    <row r="25" spans="9:20" x14ac:dyDescent="0.25">
      <c r="I25" s="55">
        <v>0.50950959134691787</v>
      </c>
      <c r="J25" s="55">
        <v>0.48001575735259211</v>
      </c>
      <c r="K25" s="55">
        <v>0.57938184393681014</v>
      </c>
      <c r="L25" s="55">
        <v>0.62571487679170035</v>
      </c>
      <c r="M25" s="55">
        <v>0.8279905768964213</v>
      </c>
      <c r="N25" s="56">
        <v>0.77921395767351731</v>
      </c>
      <c r="O25" s="56">
        <v>0.63759842123967869</v>
      </c>
      <c r="P25" s="56">
        <v>0.65109341640145013</v>
      </c>
      <c r="Q25" s="56">
        <v>0.64728012701975779</v>
      </c>
      <c r="R25" s="56">
        <v>0.81869554284369905</v>
      </c>
      <c r="S25">
        <f t="shared" si="0"/>
        <v>0.65564941115025444</v>
      </c>
      <c r="T25">
        <f t="shared" si="1"/>
        <v>0.12059445413109632</v>
      </c>
    </row>
    <row r="26" spans="9:20" x14ac:dyDescent="0.25">
      <c r="I26" s="55">
        <v>0.51068683129785719</v>
      </c>
      <c r="J26" s="55">
        <v>0.48103415260746024</v>
      </c>
      <c r="K26" s="55">
        <v>0.58016555330466335</v>
      </c>
      <c r="L26" s="55">
        <v>0.62691688539536816</v>
      </c>
      <c r="M26" s="55">
        <v>0.82892868876524195</v>
      </c>
      <c r="N26" s="56">
        <v>0.78005292476465615</v>
      </c>
      <c r="O26" s="56">
        <v>0.63838562265657561</v>
      </c>
      <c r="P26" s="56">
        <v>0.65237798199466923</v>
      </c>
      <c r="Q26" s="56">
        <v>0.64844713121889686</v>
      </c>
      <c r="R26" s="56">
        <v>0.8188782161932</v>
      </c>
      <c r="S26">
        <f t="shared" si="0"/>
        <v>0.65658739881985884</v>
      </c>
      <c r="T26">
        <f t="shared" si="1"/>
        <v>0.12042766811127183</v>
      </c>
    </row>
    <row r="27" spans="9:20" x14ac:dyDescent="0.25">
      <c r="I27" s="55">
        <v>0.51186744157965525</v>
      </c>
      <c r="J27" s="55">
        <v>0.48205494644575031</v>
      </c>
      <c r="K27" s="55">
        <v>0.58094855773260046</v>
      </c>
      <c r="L27" s="55">
        <v>0.62812097056211058</v>
      </c>
      <c r="M27" s="55">
        <v>0.82986441399048116</v>
      </c>
      <c r="N27" s="56">
        <v>0.78088931915896564</v>
      </c>
      <c r="O27" s="56">
        <v>0.63917147378110239</v>
      </c>
      <c r="P27" s="56">
        <v>0.65366498868824408</v>
      </c>
      <c r="Q27" s="56">
        <v>0.64961565630236096</v>
      </c>
      <c r="R27" s="56">
        <v>0.81905330515852803</v>
      </c>
      <c r="S27">
        <f t="shared" si="0"/>
        <v>0.65752510733997993</v>
      </c>
      <c r="T27">
        <f t="shared" si="1"/>
        <v>0.12025886154918564</v>
      </c>
    </row>
    <row r="28" spans="9:20" x14ac:dyDescent="0.25">
      <c r="I28" s="55">
        <v>0.51305137678114265</v>
      </c>
      <c r="J28" s="55">
        <v>0.48307808971999505</v>
      </c>
      <c r="K28" s="55">
        <v>0.5817307707329028</v>
      </c>
      <c r="L28" s="55">
        <v>0.62932705988871429</v>
      </c>
      <c r="M28" s="55">
        <v>0.83079761960967069</v>
      </c>
      <c r="N28" s="56">
        <v>0.78172301358412954</v>
      </c>
      <c r="O28" s="56">
        <v>0.63995587548745603</v>
      </c>
      <c r="P28" s="56">
        <v>0.65495436334000401</v>
      </c>
      <c r="Q28" s="56">
        <v>0.65078562252742844</v>
      </c>
      <c r="R28" s="56">
        <v>0.81922064801334382</v>
      </c>
      <c r="S28">
        <f t="shared" si="0"/>
        <v>0.65846244396847886</v>
      </c>
      <c r="T28">
        <f t="shared" si="1"/>
        <v>0.12008801619635526</v>
      </c>
    </row>
    <row r="29" spans="9:20" x14ac:dyDescent="0.25">
      <c r="I29" s="55">
        <v>0.51423858970207081</v>
      </c>
      <c r="J29" s="55">
        <v>0.48410353158075126</v>
      </c>
      <c r="K29" s="55">
        <v>0.5825121037467601</v>
      </c>
      <c r="L29" s="55">
        <v>0.63053507873793124</v>
      </c>
      <c r="M29" s="55">
        <v>0.83172816972073738</v>
      </c>
      <c r="N29" s="56">
        <v>0.78255387800809217</v>
      </c>
      <c r="O29" s="56">
        <v>0.64073872637783469</v>
      </c>
      <c r="P29" s="56">
        <v>0.65624603048653474</v>
      </c>
      <c r="Q29" s="56">
        <v>0.65195694783460267</v>
      </c>
      <c r="R29" s="56">
        <v>0.81938008033389909</v>
      </c>
      <c r="S29">
        <f t="shared" si="0"/>
        <v>0.65939931365292148</v>
      </c>
      <c r="T29">
        <f t="shared" si="1"/>
        <v>0.11991511380914863</v>
      </c>
    </row>
    <row r="30" spans="9:20" x14ac:dyDescent="0.25">
      <c r="I30" s="55">
        <v>0.51542903131035289</v>
      </c>
      <c r="J30" s="55">
        <v>0.48513121943777798</v>
      </c>
      <c r="K30" s="55">
        <v>0.5832924661054345</v>
      </c>
      <c r="L30" s="55">
        <v>0.63174495019002541</v>
      </c>
      <c r="M30" s="55">
        <v>0.83265592543009004</v>
      </c>
      <c r="N30" s="56">
        <v>0.78338177959106781</v>
      </c>
      <c r="O30" s="56">
        <v>0.64151992274117176</v>
      </c>
      <c r="P30" s="56">
        <v>0.65753991229218622</v>
      </c>
      <c r="Q30" s="56">
        <v>0.65312954779882049</v>
      </c>
      <c r="R30" s="56">
        <v>0.81953143496391234</v>
      </c>
      <c r="S30">
        <f t="shared" si="0"/>
        <v>0.66033561898608395</v>
      </c>
      <c r="T30">
        <f t="shared" si="1"/>
        <v>0.11974013615668302</v>
      </c>
    </row>
    <row r="31" spans="9:20" x14ac:dyDescent="0.25">
      <c r="I31" s="55">
        <v>0.51662265069850577</v>
      </c>
      <c r="J31" s="55">
        <v>0.48616109892055259</v>
      </c>
      <c r="K31" s="55">
        <v>0.58407176499092195</v>
      </c>
      <c r="L31" s="55">
        <v>0.6329565949935051</v>
      </c>
      <c r="M31" s="55">
        <v>0.8335807448001048</v>
      </c>
      <c r="N31" s="56">
        <v>0.78420658263707155</v>
      </c>
      <c r="O31" s="56">
        <v>0.64229935851136322</v>
      </c>
      <c r="P31" s="56">
        <v>0.65883592849719219</v>
      </c>
      <c r="Q31" s="56">
        <v>0.65430333557988618</v>
      </c>
      <c r="R31" s="56">
        <v>0.81967454197935463</v>
      </c>
      <c r="S31">
        <f t="shared" si="0"/>
        <v>0.6612712601608457</v>
      </c>
      <c r="T31">
        <f t="shared" si="1"/>
        <v>0.11956306502908835</v>
      </c>
    </row>
    <row r="32" spans="9:20" x14ac:dyDescent="0.25">
      <c r="I32" s="55">
        <v>0.51781939503929308</v>
      </c>
      <c r="J32" s="55">
        <v>0.48719311383808345</v>
      </c>
      <c r="K32" s="55">
        <v>0.58484990539610204</v>
      </c>
      <c r="L32" s="55">
        <v>0.6341699315150634</v>
      </c>
      <c r="M32" s="55">
        <v>0.83450248279603922</v>
      </c>
      <c r="N32" s="56">
        <v>0.785028148544889</v>
      </c>
      <c r="O32" s="56">
        <v>0.64307692522500126</v>
      </c>
      <c r="P32" s="56">
        <v>0.66013399636495318</v>
      </c>
      <c r="Q32" s="56">
        <v>0.655478221872139</v>
      </c>
      <c r="R32" s="56">
        <v>0.81980922865320416</v>
      </c>
      <c r="S32">
        <f t="shared" si="0"/>
        <v>0.66220613492447677</v>
      </c>
      <c r="T32">
        <f t="shared" si="1"/>
        <v>0.11938388224612573</v>
      </c>
    </row>
    <row r="33" spans="2:20" x14ac:dyDescent="0.25">
      <c r="I33" s="55">
        <v>0.51901920954057768</v>
      </c>
      <c r="J33" s="55">
        <v>0.48822720613805592</v>
      </c>
      <c r="K33" s="55">
        <v>0.58562679008441199</v>
      </c>
      <c r="L33" s="55">
        <v>0.63538487568872171</v>
      </c>
      <c r="M33" s="55">
        <v>0.835420991232384</v>
      </c>
      <c r="N33" s="56">
        <v>0.78584633575856522</v>
      </c>
      <c r="O33" s="56">
        <v>0.6438525119786217</v>
      </c>
      <c r="P33" s="56">
        <v>0.66143403062845696</v>
      </c>
      <c r="Q33" s="56">
        <v>0.65665411485334846</v>
      </c>
      <c r="R33" s="56">
        <v>0.81993531942018105</v>
      </c>
      <c r="S33">
        <f t="shared" si="0"/>
        <v>0.66314013853233256</v>
      </c>
      <c r="T33">
        <f t="shared" si="1"/>
        <v>0.11920256966618248</v>
      </c>
    </row>
    <row r="34" spans="2:20" x14ac:dyDescent="0.25">
      <c r="I34" s="55">
        <v>0.52022203739935935</v>
      </c>
      <c r="J34" s="55">
        <v>0.48926331586527178</v>
      </c>
      <c r="K34" s="55">
        <v>0.58640231954900024</v>
      </c>
      <c r="L34" s="55">
        <v>0.63660134096415932</v>
      </c>
      <c r="M34" s="55">
        <v>0.8363361187185997</v>
      </c>
      <c r="N34" s="56">
        <v>0.78666099971737902</v>
      </c>
      <c r="O34" s="56">
        <v>0.64462600538545234</v>
      </c>
      <c r="P34" s="56">
        <v>0.66273594343583364</v>
      </c>
      <c r="Q34" s="56">
        <v>0.6578309201328294</v>
      </c>
      <c r="R34" s="56">
        <v>0.82005263584146926</v>
      </c>
      <c r="S34">
        <f t="shared" si="0"/>
        <v>0.66407316370093539</v>
      </c>
      <c r="T34">
        <f t="shared" si="1"/>
        <v>0.11901910919564102</v>
      </c>
    </row>
    <row r="35" spans="2:20" x14ac:dyDescent="0.25">
      <c r="I35" s="55">
        <v>0.52142781975499319</v>
      </c>
      <c r="J35" s="55">
        <v>0.49030138111940469</v>
      </c>
      <c r="K35" s="55">
        <v>0.5871763919714178</v>
      </c>
      <c r="L35" s="55">
        <v>0.63781923825424325</v>
      </c>
      <c r="M35" s="55">
        <v>0.83724771060435788</v>
      </c>
      <c r="N35" s="56">
        <v>0.78747199280533176</v>
      </c>
      <c r="O35" s="56">
        <v>0.64539728953170161</v>
      </c>
      <c r="P35" s="56">
        <v>0.66403964429504336</v>
      </c>
      <c r="Q35" s="56">
        <v>0.65900854069879333</v>
      </c>
      <c r="R35" s="56">
        <v>0.82016099656946972</v>
      </c>
      <c r="S35">
        <f t="shared" si="0"/>
        <v>0.66500510056047557</v>
      </c>
      <c r="T35">
        <f t="shared" si="1"/>
        <v>0.11883348279865659</v>
      </c>
    </row>
    <row r="36" spans="2:20" x14ac:dyDescent="0.25">
      <c r="I36" s="55">
        <v>0.52263649564159853</v>
      </c>
      <c r="J36" s="55">
        <v>0.49134133801204999</v>
      </c>
      <c r="K36" s="55">
        <v>0.58794890317981152</v>
      </c>
      <c r="L36" s="55">
        <v>0.63903847588175211</v>
      </c>
      <c r="M36" s="55">
        <v>0.83815560892420093</v>
      </c>
      <c r="N36" s="56">
        <v>0.78827916430016687</v>
      </c>
      <c r="O36" s="56">
        <v>0.6461662459323585</v>
      </c>
      <c r="P36" s="56">
        <v>0.66534504001770556</v>
      </c>
      <c r="Q36" s="56">
        <v>0.66018687686491884</v>
      </c>
      <c r="R36" s="56">
        <v>0.82026021731260279</v>
      </c>
      <c r="S36">
        <f t="shared" ref="S36:S67" si="2">AVERAGE(I36:R36)</f>
        <v>0.66593583660671662</v>
      </c>
      <c r="T36">
        <f t="shared" si="1"/>
        <v>0.11864567250733635</v>
      </c>
    </row>
    <row r="37" spans="2:20" x14ac:dyDescent="0.25">
      <c r="I37" s="55">
        <v>0.52384800193964531</v>
      </c>
      <c r="J37" s="55">
        <v>0.49238312062307638</v>
      </c>
      <c r="K37" s="55">
        <v>0.58871974660665383</v>
      </c>
      <c r="L37" s="55">
        <v>0.640258959525287</v>
      </c>
      <c r="M37" s="55">
        <v>0.83905965234168267</v>
      </c>
      <c r="N37" s="56">
        <v>0.7890823603219258</v>
      </c>
      <c r="O37" s="56">
        <v>0.64693275348654888</v>
      </c>
      <c r="P37" s="56">
        <v>0.66665203466205225</v>
      </c>
      <c r="Q37" s="56">
        <v>0.66136582621616125</v>
      </c>
      <c r="R37" s="56">
        <v>0.82035011080018916</v>
      </c>
      <c r="S37">
        <f t="shared" si="2"/>
        <v>0.66686525665232221</v>
      </c>
      <c r="T37">
        <f t="shared" si="1"/>
        <v>0.11845566043235331</v>
      </c>
    </row>
    <row r="38" spans="2:20" x14ac:dyDescent="0.25">
      <c r="B38" s="148" t="s">
        <v>34</v>
      </c>
      <c r="C38" s="148"/>
      <c r="D38" s="148"/>
      <c r="E38" s="148"/>
      <c r="F38" s="148"/>
      <c r="G38" s="148"/>
      <c r="I38" s="55">
        <v>0.52506227332669808</v>
      </c>
      <c r="J38" s="55">
        <v>0.4934266609562889</v>
      </c>
      <c r="K38" s="55">
        <v>0.58948881324599678</v>
      </c>
      <c r="L38" s="55">
        <v>0.64148059216438924</v>
      </c>
      <c r="M38" s="55">
        <v>0.83995967609300137</v>
      </c>
      <c r="N38" s="56">
        <v>0.78988142378103987</v>
      </c>
      <c r="O38" s="56">
        <v>0.64769668843243944</v>
      </c>
      <c r="P38" s="56">
        <v>0.66796052947501638</v>
      </c>
      <c r="Q38" s="56">
        <v>0.6625452835537845</v>
      </c>
      <c r="R38" s="56">
        <v>0.82043048674742425</v>
      </c>
      <c r="S38">
        <f t="shared" si="2"/>
        <v>0.66779324277760799</v>
      </c>
      <c r="T38">
        <f t="shared" si="1"/>
        <v>0.11826342877397096</v>
      </c>
    </row>
    <row r="39" spans="2:20" x14ac:dyDescent="0.25">
      <c r="B39" s="148"/>
      <c r="C39" s="148"/>
      <c r="D39" s="148"/>
      <c r="E39" s="148"/>
      <c r="F39" s="148"/>
      <c r="G39" s="148"/>
      <c r="I39" s="55">
        <v>0.52627924222734535</v>
      </c>
      <c r="J39" s="55">
        <v>0.49447188889436783</v>
      </c>
      <c r="K39" s="55">
        <v>0.59025599161027631</v>
      </c>
      <c r="L39" s="55">
        <v>0.64270327402383398</v>
      </c>
      <c r="M39" s="55">
        <v>0.84085551193012897</v>
      </c>
      <c r="N39" s="56">
        <v>0.79067619432601999</v>
      </c>
      <c r="O39" s="56">
        <v>0.64845792430168403</v>
      </c>
      <c r="P39" s="56">
        <v>0.66927042283345972</v>
      </c>
      <c r="Q39" s="56">
        <v>0.66372514083963263</v>
      </c>
      <c r="R39" s="56">
        <v>0.82050115182048677</v>
      </c>
      <c r="S39">
        <f t="shared" si="2"/>
        <v>0.66871967428072365</v>
      </c>
      <c r="T39">
        <f t="shared" si="1"/>
        <v>0.11806895983355042</v>
      </c>
    </row>
    <row r="40" spans="2:20" x14ac:dyDescent="0.25">
      <c r="I40" s="55">
        <v>0.52749883876229253</v>
      </c>
      <c r="J40" s="55">
        <v>0.49551873215312314</v>
      </c>
      <c r="K40" s="55">
        <v>0.59102116768666502</v>
      </c>
      <c r="L40" s="55">
        <v>0.64392690251714513</v>
      </c>
      <c r="M40" s="55">
        <v>0.8417469880634556</v>
      </c>
      <c r="N40" s="56">
        <v>0.79146650829071052</v>
      </c>
      <c r="O40" s="56">
        <v>0.64921633187347283</v>
      </c>
      <c r="P40" s="56">
        <v>0.67058161018452178</v>
      </c>
      <c r="Q40" s="56">
        <v>0.66490528713963948</v>
      </c>
      <c r="R40" s="56">
        <v>0.82056190960183051</v>
      </c>
      <c r="S40">
        <f t="shared" si="2"/>
        <v>0.66964442762728571</v>
      </c>
      <c r="T40">
        <f t="shared" si="1"/>
        <v>0.11787223602549049</v>
      </c>
    </row>
    <row r="41" spans="2:20" x14ac:dyDescent="0.25">
      <c r="I41" s="55">
        <v>0.52872099069660605</v>
      </c>
      <c r="J41" s="55">
        <v>0.49656711623504352</v>
      </c>
      <c r="K41" s="55">
        <v>0.59178422489298288</v>
      </c>
      <c r="L41" s="55">
        <v>0.64515137218929297</v>
      </c>
      <c r="M41" s="55">
        <v>0.84263392910398116</v>
      </c>
      <c r="N41" s="56">
        <v>0.7922521986411466</v>
      </c>
      <c r="O41" s="56">
        <v>0.64997177912813908</v>
      </c>
      <c r="P41" s="56">
        <v>0.6718939839851169</v>
      </c>
      <c r="Q41" s="56">
        <v>0.66608560856658405</v>
      </c>
      <c r="R41" s="56">
        <v>0.82061256055564169</v>
      </c>
      <c r="S41">
        <f t="shared" si="2"/>
        <v>0.67056737639945341</v>
      </c>
      <c r="T41">
        <f t="shared" si="1"/>
        <v>0.11767323988966709</v>
      </c>
    </row>
    <row r="42" spans="2:20" x14ac:dyDescent="0.25">
      <c r="I42" s="55">
        <v>0.52994562338713225</v>
      </c>
      <c r="J42" s="55">
        <v>0.49761696438213121</v>
      </c>
      <c r="K42" s="55">
        <v>0.59254504403318331</v>
      </c>
      <c r="L42" s="55">
        <v>0.64637657465860221</v>
      </c>
      <c r="M42" s="55">
        <v>0.84351615600504926</v>
      </c>
      <c r="N42" s="56">
        <v>0.79303309492205076</v>
      </c>
      <c r="O42" s="56">
        <v>0.65072413120038075</v>
      </c>
      <c r="P42" s="56">
        <v>0.67320743364057556</v>
      </c>
      <c r="Q42" s="56">
        <v>0.66726598822209426</v>
      </c>
      <c r="R42" s="56">
        <v>0.82065290199354957</v>
      </c>
      <c r="S42">
        <f t="shared" si="2"/>
        <v>0.6714883912444749</v>
      </c>
      <c r="T42">
        <f t="shared" si="1"/>
        <v>0.1174719541043501</v>
      </c>
    </row>
    <row r="43" spans="2:20" x14ac:dyDescent="0.25">
      <c r="I43" s="55">
        <v>0.53117265972907923</v>
      </c>
      <c r="J43" s="55">
        <v>0.49866819752805147</v>
      </c>
      <c r="K43" s="55">
        <v>0.5933035032524332</v>
      </c>
      <c r="L43" s="55">
        <v>0.64760239855787527</v>
      </c>
      <c r="M43" s="55">
        <v>0.84439348600367969</v>
      </c>
      <c r="N43" s="56">
        <v>0.79380902320295577</v>
      </c>
      <c r="O43" s="56">
        <v>0.6514732503320938</v>
      </c>
      <c r="P43" s="56">
        <v>0.67452184544240834</v>
      </c>
      <c r="Q43" s="56">
        <v>0.66844630613790545</v>
      </c>
      <c r="R43" s="56">
        <v>0.82068272804058229</v>
      </c>
      <c r="S43">
        <f t="shared" si="2"/>
        <v>0.6724073398227064</v>
      </c>
      <c r="T43">
        <f t="shared" si="1"/>
        <v>0.11726836149963993</v>
      </c>
    </row>
    <row r="44" spans="2:20" x14ac:dyDescent="0.25">
      <c r="I44" s="55">
        <v>0.53240202010174764</v>
      </c>
      <c r="J44" s="55">
        <v>0.4997207342495768</v>
      </c>
      <c r="K44" s="55">
        <v>0.59405947799177306</v>
      </c>
      <c r="L44" s="55">
        <v>0.64882872947472259</v>
      </c>
      <c r="M44" s="55">
        <v>0.84526573256148052</v>
      </c>
      <c r="N44" s="56">
        <v>0.79457980602400857</v>
      </c>
      <c r="O44" s="56">
        <v>0.65221899582483489</v>
      </c>
      <c r="P44" s="56">
        <v>0.67583710250525453</v>
      </c>
      <c r="Q44" s="56">
        <v>0.66962643921639264</v>
      </c>
      <c r="R44" s="56">
        <v>0.82070182960145144</v>
      </c>
      <c r="S44">
        <f t="shared" si="2"/>
        <v>0.67332408675512423</v>
      </c>
      <c r="T44">
        <f t="shared" si="1"/>
        <v>0.1170624450714108</v>
      </c>
    </row>
    <row r="45" spans="2:20" x14ac:dyDescent="0.25">
      <c r="I45" s="55">
        <v>0.53363362231343148</v>
      </c>
      <c r="J45" s="55">
        <v>0.50077449071733526</v>
      </c>
      <c r="K45" s="55">
        <v>0.59481284094240305</v>
      </c>
      <c r="L45" s="55">
        <v>0.65005544989112574</v>
      </c>
      <c r="M45" s="55">
        <v>0.84613270530519979</v>
      </c>
      <c r="N45" s="56">
        <v>0.79534526234145109</v>
      </c>
      <c r="O45" s="56">
        <v>0.65296122399192924</v>
      </c>
      <c r="P45" s="56">
        <v>0.67715308470295588</v>
      </c>
      <c r="Q45" s="56">
        <v>0.67080626117036357</v>
      </c>
      <c r="R45" s="56">
        <v>0.82070999432712932</v>
      </c>
      <c r="S45">
        <f t="shared" si="2"/>
        <v>0.67423849357033239</v>
      </c>
      <c r="T45">
        <f t="shared" si="1"/>
        <v>0.11685418799580424</v>
      </c>
    </row>
    <row r="46" spans="2:20" x14ac:dyDescent="0.25">
      <c r="I46" s="55">
        <v>0.53486738154548441</v>
      </c>
      <c r="J46" s="55">
        <v>0.50182938064586979</v>
      </c>
      <c r="K46" s="55">
        <v>0.59556346199959598</v>
      </c>
      <c r="L46" s="55">
        <v>0.65128243912222494</v>
      </c>
      <c r="M46" s="55">
        <v>0.84699420996692942</v>
      </c>
      <c r="N46" s="56">
        <v>0.79610520747283331</v>
      </c>
      <c r="O46" s="56">
        <v>0.65369978811025509</v>
      </c>
      <c r="P46" s="56">
        <v>0.67846966860381153</v>
      </c>
      <c r="Q46" s="56">
        <v>0.67198564246215209</v>
      </c>
      <c r="R46" s="56">
        <v>0.82070700658186668</v>
      </c>
      <c r="S46">
        <f t="shared" si="2"/>
        <v>0.67515041865110226</v>
      </c>
      <c r="T46">
        <f t="shared" si="1"/>
        <v>0.11664357364426972</v>
      </c>
    </row>
    <row r="47" spans="2:20" x14ac:dyDescent="0.25">
      <c r="I47" s="55">
        <v>0.53610321029554531</v>
      </c>
      <c r="J47" s="55">
        <v>0.50288531524301228</v>
      </c>
      <c r="K47" s="55">
        <v>0.59631120821625716</v>
      </c>
      <c r="L47" s="55">
        <v>0.65250957325435066</v>
      </c>
      <c r="M47" s="55">
        <v>0.84785004832398558</v>
      </c>
      <c r="N47" s="56">
        <v>0.79685945304195926</v>
      </c>
      <c r="O47" s="56">
        <v>0.6544345383717044</v>
      </c>
      <c r="P47" s="56">
        <v>0.67978672740501178</v>
      </c>
      <c r="Q47" s="56">
        <v>0.67316445024199922</v>
      </c>
      <c r="R47" s="56">
        <v>0.82069264741058112</v>
      </c>
      <c r="S47">
        <f t="shared" si="2"/>
        <v>0.67605971718044067</v>
      </c>
      <c r="T47">
        <f t="shared" si="1"/>
        <v>0.11643058559917652</v>
      </c>
    </row>
    <row r="48" spans="2:20" x14ac:dyDescent="0.25">
      <c r="I48" s="55">
        <v>0.53734101831993697</v>
      </c>
      <c r="J48" s="55">
        <v>0.50394220315856997</v>
      </c>
      <c r="K48" s="55">
        <v>0.59705594375613569</v>
      </c>
      <c r="L48" s="55">
        <v>0.65373672508230329</v>
      </c>
      <c r="M48" s="55">
        <v>0.84870001813849361</v>
      </c>
      <c r="N48" s="56">
        <v>0.79760780692360334</v>
      </c>
      <c r="O48" s="56">
        <v>0.6551653218343616</v>
      </c>
      <c r="P48" s="56">
        <v>0.68110413086623611</v>
      </c>
      <c r="Q48" s="56">
        <v>0.67434254828574314</v>
      </c>
      <c r="R48" s="56">
        <v>0.82066669450674024</v>
      </c>
      <c r="S48">
        <f t="shared" si="2"/>
        <v>0.67696624108721237</v>
      </c>
      <c r="T48">
        <f t="shared" si="1"/>
        <v>0.11621520767000881</v>
      </c>
    </row>
    <row r="49" spans="9:20" x14ac:dyDescent="0.25">
      <c r="I49" s="55">
        <v>0.53858071257523565</v>
      </c>
      <c r="J49" s="55">
        <v>0.5049999504323508</v>
      </c>
      <c r="K49" s="55">
        <v>0.59779752984673362</v>
      </c>
      <c r="L49" s="55">
        <v>0.65496376404590606</v>
      </c>
      <c r="M49" s="55">
        <v>0.84954391309672539</v>
      </c>
      <c r="N49" s="56">
        <v>0.79835007318804485</v>
      </c>
      <c r="O49" s="56">
        <v>0.65589198237340496</v>
      </c>
      <c r="P49" s="56">
        <v>0.68242174524246479</v>
      </c>
      <c r="Q49" s="56">
        <v>0.67551979693183761</v>
      </c>
      <c r="R49" s="56">
        <v>0.82062892218073702</v>
      </c>
      <c r="S49">
        <f t="shared" si="2"/>
        <v>0.67786983899134412</v>
      </c>
      <c r="T49">
        <f t="shared" si="1"/>
        <v>0.11599742391016098</v>
      </c>
    </row>
    <row r="50" spans="9:20" x14ac:dyDescent="0.25">
      <c r="I50" s="55">
        <v>0.5398221971590299</v>
      </c>
      <c r="J50" s="55">
        <v>0.5060584604415107</v>
      </c>
      <c r="K50" s="55">
        <v>0.59853582473191225</v>
      </c>
      <c r="L50" s="55">
        <v>0.65619055616582533</v>
      </c>
      <c r="M50" s="55">
        <v>0.85038152274820966</v>
      </c>
      <c r="N50" s="56">
        <v>0.79908605204542327</v>
      </c>
      <c r="O50" s="56">
        <v>0.65661436063177681</v>
      </c>
      <c r="P50" s="56">
        <v>0.68373943321599673</v>
      </c>
      <c r="Q50" s="56">
        <v>0.67669605301771696</v>
      </c>
      <c r="R50" s="56">
        <v>0.82057910132884648</v>
      </c>
      <c r="S50">
        <f t="shared" si="2"/>
        <v>0.6787703561486248</v>
      </c>
      <c r="T50">
        <f t="shared" si="1"/>
        <v>0.11577721863436172</v>
      </c>
    </row>
    <row r="51" spans="9:20" x14ac:dyDescent="0.25">
      <c r="I51" s="55">
        <v>0.54106537324984083</v>
      </c>
      <c r="J51" s="55">
        <v>0.50711763384724107</v>
      </c>
      <c r="K51" s="55">
        <v>0.59927068362421443</v>
      </c>
      <c r="L51" s="55">
        <v>0.65741696397868576</v>
      </c>
      <c r="M51" s="55">
        <v>0.85121263244464207</v>
      </c>
      <c r="N51" s="56">
        <v>0.79981553978997</v>
      </c>
      <c r="O51" s="56">
        <v>0.65733229397061876</v>
      </c>
      <c r="P51" s="56">
        <v>0.68505705382768056</v>
      </c>
      <c r="Q51" s="56">
        <v>0.67787116981549489</v>
      </c>
      <c r="R51" s="56">
        <v>0.82051699940276623</v>
      </c>
      <c r="S51">
        <f t="shared" si="2"/>
        <v>0.67966763439511546</v>
      </c>
      <c r="T51">
        <f t="shared" si="1"/>
        <v>0.11555457643671617</v>
      </c>
    </row>
    <row r="52" spans="9:20" x14ac:dyDescent="0.25">
      <c r="I52" s="55">
        <v>0.54231013904627201</v>
      </c>
      <c r="J52" s="55">
        <v>0.50817736854082429</v>
      </c>
      <c r="K52" s="55">
        <v>0.60000195865695261</v>
      </c>
      <c r="L52" s="55">
        <v>0.65864284647149585</v>
      </c>
      <c r="M52" s="55">
        <v>0.85203702327865838</v>
      </c>
      <c r="N52" s="56">
        <v>0.80053832874414876</v>
      </c>
      <c r="O52" s="56">
        <v>0.65804561641953141</v>
      </c>
      <c r="P52" s="56">
        <v>0.68637446240739819</v>
      </c>
      <c r="Q52" s="56">
        <v>0.67904499696707588</v>
      </c>
      <c r="R52" s="56">
        <v>0.8204423803798363</v>
      </c>
      <c r="S52">
        <f t="shared" si="2"/>
        <v>0.6805615120912194</v>
      </c>
      <c r="T52">
        <f t="shared" si="1"/>
        <v>0.1153294822094181</v>
      </c>
    </row>
    <row r="53" spans="9:20" x14ac:dyDescent="0.25">
      <c r="I53" s="55">
        <v>0.54355638970532627</v>
      </c>
      <c r="J53" s="55">
        <v>0.5092375595890356</v>
      </c>
      <c r="K53" s="55">
        <v>0.60072949883605509</v>
      </c>
      <c r="L53" s="55">
        <v>0.65986805901540568</v>
      </c>
      <c r="M53" s="55">
        <v>0.85285447202248588</v>
      </c>
      <c r="N53" s="56">
        <v>0.80125420720273621</v>
      </c>
      <c r="O53" s="56">
        <v>0.65875415862666564</v>
      </c>
      <c r="P53" s="56">
        <v>0.68769151050379707</v>
      </c>
      <c r="Q53" s="56">
        <v>0.68021738041862989</v>
      </c>
      <c r="R53" s="56">
        <v>0.82035500473396006</v>
      </c>
      <c r="S53">
        <f t="shared" si="2"/>
        <v>0.68145182406540983</v>
      </c>
      <c r="T53">
        <f t="shared" si="1"/>
        <v>0.11510192116212857</v>
      </c>
    </row>
    <row r="54" spans="9:20" x14ac:dyDescent="0.25">
      <c r="I54" s="55">
        <v>0.54480401727995065</v>
      </c>
      <c r="J54" s="55">
        <v>0.51029809917893254</v>
      </c>
      <c r="K54" s="55">
        <v>0.60145314999172095</v>
      </c>
      <c r="L54" s="55">
        <v>0.66109245329879018</v>
      </c>
      <c r="M54" s="55">
        <v>0.85366475106653039</v>
      </c>
      <c r="N54" s="56">
        <v>0.80196295937689421</v>
      </c>
      <c r="O54" s="56">
        <v>0.65945774780868505</v>
      </c>
      <c r="P54" s="56">
        <v>0.68900804581330244</v>
      </c>
      <c r="Q54" s="56">
        <v>0.68138816235450594</v>
      </c>
      <c r="R54" s="56">
        <v>0.82025462940729965</v>
      </c>
      <c r="S54">
        <f t="shared" si="2"/>
        <v>0.68233840155766123</v>
      </c>
      <c r="T54">
        <f t="shared" si="1"/>
        <v>0.11487187884203481</v>
      </c>
    </row>
    <row r="55" spans="9:20" x14ac:dyDescent="0.25">
      <c r="I55" s="55">
        <v>0.54605291065582029</v>
      </c>
      <c r="J55" s="55">
        <v>0.51135887656202672</v>
      </c>
      <c r="K55" s="55">
        <v>0.60217275472990273</v>
      </c>
      <c r="L55" s="55">
        <v>0.6623158772597284</v>
      </c>
      <c r="M55" s="55">
        <v>0.85446762835793411</v>
      </c>
      <c r="N55" s="56">
        <v>0.8026643653382679</v>
      </c>
      <c r="O55" s="56">
        <v>0.66015620770063121</v>
      </c>
      <c r="P55" s="56">
        <v>0.69032391210842659</v>
      </c>
      <c r="Q55" s="56">
        <v>0.68255718113058472</v>
      </c>
      <c r="R55" s="56">
        <v>0.8201410077828013</v>
      </c>
      <c r="S55">
        <f t="shared" si="2"/>
        <v>0.68322107216261241</v>
      </c>
      <c r="T55">
        <f t="shared" si="1"/>
        <v>0.11463934115462288</v>
      </c>
    </row>
    <row r="56" spans="9:20" x14ac:dyDescent="0.25">
      <c r="I56" s="55">
        <v>0.54730295548732799</v>
      </c>
      <c r="J56" s="55">
        <v>0.51241977799786098</v>
      </c>
      <c r="K56" s="55">
        <v>0.60288815238364146</v>
      </c>
      <c r="L56" s="55">
        <v>0.66353817501785251</v>
      </c>
      <c r="M56" s="55">
        <v>0.85526286733916357</v>
      </c>
      <c r="N56" s="56">
        <v>0.80335820096315314</v>
      </c>
      <c r="O56" s="56">
        <v>0.66084935850572746</v>
      </c>
      <c r="P56" s="56">
        <v>0.69163894916540336</v>
      </c>
      <c r="Q56" s="56">
        <v>0.68372427120710566</v>
      </c>
      <c r="R56" s="56">
        <v>0.82001388965759425</v>
      </c>
      <c r="S56">
        <f t="shared" si="2"/>
        <v>0.68409965977248288</v>
      </c>
      <c r="T56">
        <f t="shared" si="1"/>
        <v>0.11440429438517942</v>
      </c>
    </row>
    <row r="57" spans="9:20" x14ac:dyDescent="0.25">
      <c r="I57" s="55">
        <v>0.5485540341328512</v>
      </c>
      <c r="J57" s="55">
        <v>0.51348068669701696</v>
      </c>
      <c r="K57" s="55">
        <v>0.6035991789642996</v>
      </c>
      <c r="L57" s="55">
        <v>0.66475918680561863</v>
      </c>
      <c r="M57" s="55">
        <v>0.85605022688664867</v>
      </c>
      <c r="N57" s="56">
        <v>0.80404423787679813</v>
      </c>
      <c r="O57" s="56">
        <v>0.66153701684515254</v>
      </c>
      <c r="P57" s="56">
        <v>0.69295299269116473</v>
      </c>
      <c r="Q57" s="56">
        <v>0.68488926308097953</v>
      </c>
      <c r="R57" s="56">
        <v>0.81987302121737127</v>
      </c>
      <c r="S57">
        <f t="shared" si="2"/>
        <v>0.68497398451979019</v>
      </c>
      <c r="T57">
        <f t="shared" si="1"/>
        <v>0.11416672522102045</v>
      </c>
    </row>
    <row r="58" spans="9:20" x14ac:dyDescent="0.25">
      <c r="I58" s="55">
        <v>0.54980602558928027</v>
      </c>
      <c r="J58" s="55">
        <v>0.51454148276354295</v>
      </c>
      <c r="K58" s="55">
        <v>0.60430566711270739</v>
      </c>
      <c r="L58" s="55">
        <v>0.66597874889902786</v>
      </c>
      <c r="M58" s="55">
        <v>0.85682946124957349</v>
      </c>
      <c r="N58" s="56">
        <v>0.80472224339785914</v>
      </c>
      <c r="O58" s="56">
        <v>0.66221899570783271</v>
      </c>
      <c r="P58" s="56">
        <v>0.69426587424969333</v>
      </c>
      <c r="Q58" s="56">
        <v>0.68605198321764005</v>
      </c>
      <c r="R58" s="56">
        <v>0.81971814501173379</v>
      </c>
      <c r="S58">
        <f t="shared" si="2"/>
        <v>0.68584386271988906</v>
      </c>
      <c r="T58">
        <f t="shared" si="1"/>
        <v>0.11392662077450841</v>
      </c>
    </row>
    <row r="59" spans="9:20" x14ac:dyDescent="0.25">
      <c r="I59" s="55">
        <v>0.55105880542582841</v>
      </c>
      <c r="J59" s="55">
        <v>0.51560204313686009</v>
      </c>
      <c r="K59" s="55">
        <v>0.60500744605028556</v>
      </c>
      <c r="L59" s="55">
        <v>0.66719669354780409</v>
      </c>
      <c r="M59" s="55">
        <v>0.85760031998882014</v>
      </c>
      <c r="N59" s="56">
        <v>0.8053919804830898</v>
      </c>
      <c r="O59" s="56">
        <v>0.66289510440027832</v>
      </c>
      <c r="P59" s="56">
        <v>0.69557742118777355</v>
      </c>
      <c r="Q59" s="56">
        <v>0.68721225398245767</v>
      </c>
      <c r="R59" s="56">
        <v>0.81954899993067465</v>
      </c>
      <c r="S59">
        <f t="shared" si="2"/>
        <v>0.68670910681338726</v>
      </c>
      <c r="T59">
        <f t="shared" si="1"/>
        <v>0.11368396860681894</v>
      </c>
    </row>
    <row r="60" spans="9:20" x14ac:dyDescent="0.25">
      <c r="I60" s="55">
        <v>0.55231224571715087</v>
      </c>
      <c r="J60" s="55">
        <v>0.51666224153313878</v>
      </c>
      <c r="K60" s="55">
        <v>0.60570434153013364</v>
      </c>
      <c r="L60" s="55">
        <v>0.66841284890509045</v>
      </c>
      <c r="M60" s="55">
        <v>0.85836254791616062</v>
      </c>
      <c r="N60" s="56">
        <v>0.8060532076723127</v>
      </c>
      <c r="O60" s="56">
        <v>0.66356514849652826</v>
      </c>
      <c r="P60" s="56">
        <v>0.69688745656018525</v>
      </c>
      <c r="Q60" s="56">
        <v>0.68836989357173761</v>
      </c>
      <c r="R60" s="56">
        <v>0.81936532118217043</v>
      </c>
      <c r="S60">
        <f t="shared" si="2"/>
        <v>0.68756952530846083</v>
      </c>
      <c r="T60">
        <f t="shared" si="1"/>
        <v>0.11343875675253055</v>
      </c>
    </row>
    <row r="61" spans="9:20" x14ac:dyDescent="0.25">
      <c r="I61" s="55">
        <v>0.55356621497579439</v>
      </c>
      <c r="J61" s="55">
        <v>0.5177219483861708</v>
      </c>
      <c r="K61" s="55">
        <v>0.60639617578819116</v>
      </c>
      <c r="L61" s="55">
        <v>0.6696270389566723</v>
      </c>
      <c r="M61" s="55">
        <v>0.85911588503373659</v>
      </c>
      <c r="N61" s="56">
        <v>0.80670567903371282</v>
      </c>
      <c r="O61" s="56">
        <v>0.66422892978822179</v>
      </c>
      <c r="P61" s="56">
        <v>0.69819579905436324</v>
      </c>
      <c r="Q61" s="56">
        <v>0.68952471594335518</v>
      </c>
      <c r="R61" s="56">
        <v>0.81916684027102316</v>
      </c>
      <c r="S61">
        <f t="shared" si="2"/>
        <v>0.68842492272312428</v>
      </c>
      <c r="T61">
        <f t="shared" si="1"/>
        <v>0.11319097374502161</v>
      </c>
    </row>
    <row r="62" spans="9:20" x14ac:dyDescent="0.25">
      <c r="I62" s="55">
        <v>0.55482057808398844</v>
      </c>
      <c r="J62" s="55">
        <v>0.51878103078778159</v>
      </c>
      <c r="K62" s="55">
        <v>0.60708276749443957</v>
      </c>
      <c r="L62" s="55">
        <v>0.67083908344977405</v>
      </c>
      <c r="M62" s="55">
        <v>0.85986006647390112</v>
      </c>
      <c r="N62" s="56">
        <v>0.80734914410953296</v>
      </c>
      <c r="O62" s="56">
        <v>0.66488624623486337</v>
      </c>
      <c r="P62" s="56">
        <v>0.69950226291455186</v>
      </c>
      <c r="Q62" s="56">
        <v>0.69067653074705715</v>
      </c>
      <c r="R62" s="56">
        <v>0.8189532849789799</v>
      </c>
      <c r="S62">
        <f t="shared" si="2"/>
        <v>0.689275099527487</v>
      </c>
      <c r="T62">
        <f t="shared" si="1"/>
        <v>0.1129406086427093</v>
      </c>
    </row>
    <row r="63" spans="9:20" x14ac:dyDescent="0.25">
      <c r="I63" s="55">
        <v>0.55607519622481949</v>
      </c>
      <c r="J63" s="55">
        <v>0.51983935242779766</v>
      </c>
      <c r="K63" s="55">
        <v>0.60776393170425691</v>
      </c>
      <c r="L63" s="55">
        <v>0.67204879782147298</v>
      </c>
      <c r="M63" s="55">
        <v>0.8605948224394887</v>
      </c>
      <c r="N63" s="56">
        <v>0.80798334786224024</v>
      </c>
      <c r="O63" s="56">
        <v>0.66553689191433296</v>
      </c>
      <c r="P63" s="56">
        <v>0.70080665786551244</v>
      </c>
      <c r="Q63" s="56">
        <v>0.6918251432544904</v>
      </c>
      <c r="R63" s="56">
        <v>0.81872437934625919</v>
      </c>
      <c r="S63">
        <f t="shared" si="2"/>
        <v>0.69011985208606708</v>
      </c>
      <c r="T63">
        <f t="shared" si="1"/>
        <v>0.11268765105613261</v>
      </c>
    </row>
    <row r="64" spans="9:20" x14ac:dyDescent="0.25">
      <c r="I64" s="55">
        <v>0.55732992681280957</v>
      </c>
      <c r="J64" s="55">
        <v>0.52089677353357489</v>
      </c>
      <c r="K64" s="55">
        <v>0.60843947980990853</v>
      </c>
      <c r="L64" s="55">
        <v>0.67325599312675477</v>
      </c>
      <c r="M64" s="55">
        <v>0.86131987814456012</v>
      </c>
      <c r="N64" s="56">
        <v>0.80860803062119391</v>
      </c>
      <c r="O64" s="56">
        <v>0.66618065697366902</v>
      </c>
      <c r="P64" s="56">
        <v>0.70210878903582286</v>
      </c>
      <c r="Q64" s="56">
        <v>0.69297035428895704</v>
      </c>
      <c r="R64" s="56">
        <v>0.81847984365449156</v>
      </c>
      <c r="S64">
        <f t="shared" si="2"/>
        <v>0.69095897260017414</v>
      </c>
      <c r="T64">
        <f t="shared" si="1"/>
        <v>0.11243209117592914</v>
      </c>
    </row>
    <row r="65" spans="9:20" x14ac:dyDescent="0.25">
      <c r="I65" s="55">
        <v>0.55858462342391513</v>
      </c>
      <c r="J65" s="55">
        <v>0.52195315080916427</v>
      </c>
      <c r="K65" s="55">
        <v>0.60910921949227304</v>
      </c>
      <c r="L65" s="55">
        <v>0.67446047596626824</v>
      </c>
      <c r="M65" s="55">
        <v>0.86203495375574724</v>
      </c>
      <c r="N65" s="56">
        <v>0.80922292802993478</v>
      </c>
      <c r="O65" s="56">
        <v>0.66681732758021339</v>
      </c>
      <c r="P65" s="56">
        <v>0.70340845688078679</v>
      </c>
      <c r="Q65" s="56">
        <v>0.6941119601550062</v>
      </c>
      <c r="R65" s="56">
        <v>0.81821939441125002</v>
      </c>
      <c r="S65">
        <f t="shared" si="2"/>
        <v>0.691792249050456</v>
      </c>
      <c r="T65">
        <f t="shared" si="1"/>
        <v>0.112173919801688</v>
      </c>
    </row>
    <row r="66" spans="9:20" x14ac:dyDescent="0.25">
      <c r="I66" s="55">
        <v>0.55983913572500332</v>
      </c>
      <c r="J66" s="55">
        <v>0.52300833737411201</v>
      </c>
      <c r="K66" s="55">
        <v>0.60977295467282433</v>
      </c>
      <c r="L66" s="55">
        <v>0.67566204841382171</v>
      </c>
      <c r="M66" s="55">
        <v>0.86273976433419886</v>
      </c>
      <c r="N66" s="56">
        <v>0.80982777099410874</v>
      </c>
      <c r="O66" s="56">
        <v>0.66744668587314571</v>
      </c>
      <c r="P66" s="56">
        <v>0.70470545710502852</v>
      </c>
      <c r="Q66" s="56">
        <v>0.69524975256784494</v>
      </c>
      <c r="R66" s="56">
        <v>0.81794274433615499</v>
      </c>
      <c r="S66">
        <f t="shared" si="2"/>
        <v>0.69261946513962425</v>
      </c>
      <c r="T66">
        <f t="shared" si="1"/>
        <v>0.11191312837172962</v>
      </c>
    </row>
    <row r="67" spans="9:20" x14ac:dyDescent="0.25">
      <c r="I67" s="55">
        <v>0.56109330940281921</v>
      </c>
      <c r="J67" s="55">
        <v>0.52406218270193416</v>
      </c>
      <c r="K67" s="55">
        <v>0.61043048546593148</v>
      </c>
      <c r="L67" s="55">
        <v>0.67686050794366104</v>
      </c>
      <c r="M67" s="55">
        <v>0.86343401977828516</v>
      </c>
      <c r="N67" s="56">
        <v>0.8104222856301676</v>
      </c>
      <c r="O67" s="56">
        <v>0.66806850991547617</v>
      </c>
      <c r="P67" s="56">
        <v>0.7059995805848156</v>
      </c>
      <c r="Q67" s="56">
        <v>0.69638351858268277</v>
      </c>
      <c r="R67" s="56">
        <v>0.81764960234873962</v>
      </c>
      <c r="S67">
        <f t="shared" si="2"/>
        <v>0.69344040023545117</v>
      </c>
      <c r="T67">
        <f t="shared" si="1"/>
        <v>0.11164970899380053</v>
      </c>
    </row>
    <row r="68" spans="9:20" x14ac:dyDescent="0.25">
      <c r="I68" s="55">
        <v>0.56234698609248546</v>
      </c>
      <c r="J68" s="55">
        <v>0.52511453255831642</v>
      </c>
      <c r="K68" s="55">
        <v>0.61108160813153012</v>
      </c>
      <c r="L68" s="55">
        <v>0.67805564735759916</v>
      </c>
      <c r="M68" s="55">
        <v>0.86411742476707398</v>
      </c>
      <c r="N68" s="56">
        <v>0.81100619321486112</v>
      </c>
      <c r="O68" s="56">
        <v>0.66868257364657502</v>
      </c>
      <c r="P68" s="56">
        <v>0.70729061329015652</v>
      </c>
      <c r="Q68" s="56">
        <v>0.69751304052401486</v>
      </c>
      <c r="R68" s="56">
        <v>0.81733967355808246</v>
      </c>
      <c r="S68">
        <f t="shared" ref="S68:S99" si="3">AVERAGE(I68:R68)</f>
        <v>0.69425482931406957</v>
      </c>
      <c r="T68">
        <f t="shared" si="1"/>
        <v>0.11138365447672459</v>
      </c>
    </row>
    <row r="69" spans="9:20" x14ac:dyDescent="0.25">
      <c r="I69" s="55">
        <v>0.56360000330558402</v>
      </c>
      <c r="J69" s="55">
        <v>0.52616522893907069</v>
      </c>
      <c r="K69" s="55">
        <v>0.61172611502822616</v>
      </c>
      <c r="L69" s="55">
        <v>0.67924725471203018</v>
      </c>
      <c r="M69" s="55">
        <v>0.86478967870471668</v>
      </c>
      <c r="N69" s="56">
        <v>0.8115792101356375</v>
      </c>
      <c r="O69" s="56">
        <v>0.66928864683527378</v>
      </c>
      <c r="P69" s="56">
        <v>0.70857833620672839</v>
      </c>
      <c r="Q69" s="56">
        <v>0.69863809591493042</v>
      </c>
      <c r="R69" s="56">
        <v>0.81701265925436051</v>
      </c>
      <c r="S69">
        <f t="shared" si="3"/>
        <v>0.69506252290365589</v>
      </c>
      <c r="T69">
        <f t="shared" ref="T69:T103" si="4">STDEV(I69:R69)</f>
        <v>0.11111495836303172</v>
      </c>
    </row>
    <row r="70" spans="9:20" x14ac:dyDescent="0.25">
      <c r="I70" s="55">
        <v>0.56485219435783685</v>
      </c>
      <c r="J70" s="55">
        <v>0.52721411000787566</v>
      </c>
      <c r="K70" s="55">
        <v>0.61236379456689471</v>
      </c>
      <c r="L70" s="55">
        <v>0.68043511324489347</v>
      </c>
      <c r="M70" s="55">
        <v>0.86545047566580224</v>
      </c>
      <c r="N70" s="56">
        <v>0.81214104784204699</v>
      </c>
      <c r="O70" s="56">
        <v>0.6698864950336334</v>
      </c>
      <c r="P70" s="56">
        <v>0.70986252525770588</v>
      </c>
      <c r="Q70" s="56">
        <v>0.69975845740650366</v>
      </c>
      <c r="R70" s="56">
        <v>0.81666825690239153</v>
      </c>
      <c r="S70">
        <f t="shared" si="3"/>
        <v>0.69586324702855851</v>
      </c>
      <c r="T70">
        <f t="shared" si="4"/>
        <v>0.11084361496254529</v>
      </c>
    </row>
    <row r="71" spans="9:20" x14ac:dyDescent="0.25">
      <c r="I71" s="55">
        <v>0.56610338829645879</v>
      </c>
      <c r="J71" s="55">
        <v>0.52826101003388071</v>
      </c>
      <c r="K71" s="55">
        <v>0.61299443116482188</v>
      </c>
      <c r="L71" s="55">
        <v>0.68161900130267217</v>
      </c>
      <c r="M71" s="55">
        <v>0.86609950434179994</v>
      </c>
      <c r="N71" s="56">
        <v>0.81269141279819723</v>
      </c>
      <c r="O71" s="56">
        <v>0.67047587953144205</v>
      </c>
      <c r="P71" s="56">
        <v>0.71114295122553006</v>
      </c>
      <c r="Q71" s="56">
        <v>0.70087389270732925</v>
      </c>
      <c r="R71" s="56">
        <v>0.81630616013727963</v>
      </c>
      <c r="S71">
        <f t="shared" si="3"/>
        <v>0.69665676315394109</v>
      </c>
      <c r="T71">
        <f t="shared" si="4"/>
        <v>0.11056961938699936</v>
      </c>
    </row>
    <row r="72" spans="9:20" x14ac:dyDescent="0.25">
      <c r="I72" s="55">
        <v>0.56735340982721338</v>
      </c>
      <c r="J72" s="55">
        <v>0.52930575932917956</v>
      </c>
      <c r="K72" s="55">
        <v>0.6136178052004807</v>
      </c>
      <c r="L72" s="55">
        <v>0.68279869226744161</v>
      </c>
      <c r="M72" s="55">
        <v>0.86673644798864546</v>
      </c>
      <c r="N72" s="56">
        <v>0.81323000643639354</v>
      </c>
      <c r="O72" s="56">
        <v>0.67105655731149816</v>
      </c>
      <c r="P72" s="56">
        <v>0.71241937967372615</v>
      </c>
      <c r="Q72" s="56">
        <v>0.70198416451325596</v>
      </c>
      <c r="R72" s="56">
        <v>0.81592605876225055</v>
      </c>
      <c r="S72">
        <f t="shared" si="3"/>
        <v>0.69744282813100855</v>
      </c>
      <c r="T72">
        <f t="shared" si="4"/>
        <v>0.11029296758564611</v>
      </c>
    </row>
    <row r="73" spans="9:20" x14ac:dyDescent="0.25">
      <c r="I73" s="55">
        <v>0.56860207924121775</v>
      </c>
      <c r="J73" s="55">
        <v>0.53034818418622254</v>
      </c>
      <c r="K73" s="55">
        <v>0.61423369296898567</v>
      </c>
      <c r="L73" s="55">
        <v>0.68397395448407394</v>
      </c>
      <c r="M73" s="55">
        <v>0.86736098437562503</v>
      </c>
      <c r="N73" s="56">
        <v>0.81375652511203733</v>
      </c>
      <c r="O73" s="56">
        <v>0.67162828100578953</v>
      </c>
      <c r="P73" s="56">
        <v>0.71369157086877222</v>
      </c>
      <c r="Q73" s="56">
        <v>0.70308903043742377</v>
      </c>
      <c r="R73" s="56">
        <v>0.81552763874880096</v>
      </c>
      <c r="S73">
        <f t="shared" si="3"/>
        <v>0.69822119414289485</v>
      </c>
      <c r="T73">
        <f t="shared" si="4"/>
        <v>0.11001365638192834</v>
      </c>
    </row>
    <row r="74" spans="9:20" x14ac:dyDescent="0.25">
      <c r="I74" s="55">
        <v>0.56984921234155972</v>
      </c>
      <c r="J74" s="55">
        <v>0.53138810681523885</v>
      </c>
      <c r="K74" s="55">
        <v>0.61484186663831453</v>
      </c>
      <c r="L74" s="55">
        <v>0.68514455118766771</v>
      </c>
      <c r="M74" s="55">
        <v>0.86797278573562286</v>
      </c>
      <c r="N74" s="56">
        <v>0.8142706600598808</v>
      </c>
      <c r="O74" s="56">
        <v>0.6721907988526219</v>
      </c>
      <c r="P74" s="56">
        <v>0.71495927970217454</v>
      </c>
      <c r="Q74" s="56">
        <v>0.70418824294064575</v>
      </c>
      <c r="R74" s="56">
        <v>0.81511058223925936</v>
      </c>
      <c r="S74">
        <f t="shared" si="3"/>
        <v>0.69899160865129861</v>
      </c>
      <c r="T74">
        <f t="shared" si="4"/>
        <v>0.1097316835111717</v>
      </c>
    </row>
    <row r="75" spans="9:20" x14ac:dyDescent="0.25">
      <c r="I75" s="55">
        <v>0.5710946203697771</v>
      </c>
      <c r="J75" s="55">
        <v>0.53242534528167595</v>
      </c>
      <c r="K75" s="55">
        <v>0.61544209420637175</v>
      </c>
      <c r="L75" s="55">
        <v>0.68631024043125166</v>
      </c>
      <c r="M75" s="55">
        <v>0.86857151871685301</v>
      </c>
      <c r="N75" s="56">
        <v>0.8147720973517697</v>
      </c>
      <c r="O75" s="56">
        <v>0.67274385465479247</v>
      </c>
      <c r="P75" s="56">
        <v>0.71622225561274466</v>
      </c>
      <c r="Q75" s="56">
        <v>0.70528154926223185</v>
      </c>
      <c r="R75" s="56">
        <v>0.81467456755187817</v>
      </c>
      <c r="S75">
        <f t="shared" si="3"/>
        <v>0.69975381434393458</v>
      </c>
      <c r="T75">
        <f t="shared" si="4"/>
        <v>0.10944704765936079</v>
      </c>
    </row>
    <row r="76" spans="9:20" x14ac:dyDescent="0.25">
      <c r="I76" s="55">
        <v>0.57233810993226641</v>
      </c>
      <c r="J76" s="55">
        <v>0.53345971344375775</v>
      </c>
      <c r="K76" s="55">
        <v>0.61603413945894736</v>
      </c>
      <c r="L76" s="55">
        <v>0.68747077501386333</v>
      </c>
      <c r="M76" s="55">
        <v>0.86915684433620433</v>
      </c>
      <c r="N76" s="56">
        <v>0.81526051785593434</v>
      </c>
      <c r="O76" s="56">
        <v>0.67328718773889284</v>
      </c>
      <c r="P76" s="56">
        <v>0.71748024250922648</v>
      </c>
      <c r="Q76" s="56">
        <v>0.70636869135133507</v>
      </c>
      <c r="R76" s="56">
        <v>0.81421926918856502</v>
      </c>
      <c r="S76">
        <f t="shared" si="3"/>
        <v>0.70050754908289925</v>
      </c>
      <c r="T76">
        <f t="shared" si="4"/>
        <v>0.1091597485029866</v>
      </c>
    </row>
    <row r="77" spans="9:20" x14ac:dyDescent="0.25">
      <c r="I77" s="55">
        <v>0.5735794829266686</v>
      </c>
      <c r="J77" s="55">
        <v>0.5344910208902105</v>
      </c>
      <c r="K77" s="55">
        <v>0.61661776192869455</v>
      </c>
      <c r="L77" s="55">
        <v>0.68862590240908272</v>
      </c>
      <c r="M77" s="55">
        <v>0.86972841793428246</v>
      </c>
      <c r="N77" s="56">
        <v>0.81573559719797573</v>
      </c>
      <c r="O77" s="56">
        <v>0.67382053291582189</v>
      </c>
      <c r="P77" s="56">
        <v>0.71873297869330521</v>
      </c>
      <c r="Q77" s="56">
        <v>0.70744940579889626</v>
      </c>
      <c r="R77" s="56">
        <v>0.8137443578453748</v>
      </c>
      <c r="S77">
        <f t="shared" si="3"/>
        <v>0.7012525458540313</v>
      </c>
      <c r="T77">
        <f t="shared" si="4"/>
        <v>0.10886978674997842</v>
      </c>
    </row>
    <row r="78" spans="9:20" x14ac:dyDescent="0.25">
      <c r="I78" s="55">
        <v>0.57481853646830516</v>
      </c>
      <c r="J78" s="55">
        <v>0.535519072878203</v>
      </c>
      <c r="K78" s="55">
        <v>0.61719271685517496</v>
      </c>
      <c r="L78" s="55">
        <v>0.68977536469409872</v>
      </c>
      <c r="M78" s="55">
        <v>0.87028588913231386</v>
      </c>
      <c r="N78" s="56">
        <v>0.81619700572367737</v>
      </c>
      <c r="O78" s="56">
        <v>0.67434362044262952</v>
      </c>
      <c r="P78" s="56">
        <v>0.71998019678314018</v>
      </c>
      <c r="Q78" s="56">
        <v>0.70852342377029998</v>
      </c>
      <c r="R78" s="56">
        <v>0.81324950042589816</v>
      </c>
      <c r="S78">
        <f t="shared" si="3"/>
        <v>0.70198853271737416</v>
      </c>
      <c r="T78">
        <f t="shared" si="4"/>
        <v>0.10857716418175511</v>
      </c>
    </row>
    <row r="79" spans="9:20" x14ac:dyDescent="0.25">
      <c r="I79" s="55">
        <v>0.57605506281674879</v>
      </c>
      <c r="J79" s="55">
        <v>0.53654367027158822</v>
      </c>
      <c r="K79" s="55">
        <v>0.61775875514606982</v>
      </c>
      <c r="L79" s="55">
        <v>0.69091889847939603</v>
      </c>
      <c r="M79" s="55">
        <v>0.8708289017910108</v>
      </c>
      <c r="N79" s="56">
        <v>0.81664440846369002</v>
      </c>
      <c r="O79" s="56">
        <v>0.67485617598575387</v>
      </c>
      <c r="P79" s="56">
        <v>0.72122162363744891</v>
      </c>
      <c r="Q79" s="56">
        <v>0.70959047093879735</v>
      </c>
      <c r="R79" s="56">
        <v>0.81273436005763777</v>
      </c>
      <c r="S79">
        <f t="shared" si="3"/>
        <v>0.7027152327588142</v>
      </c>
      <c r="T79">
        <f t="shared" si="4"/>
        <v>0.10828188369637468</v>
      </c>
    </row>
    <row r="80" spans="9:20" x14ac:dyDescent="0.25">
      <c r="I80" s="55">
        <v>0.57728884930256996</v>
      </c>
      <c r="J80" s="55">
        <v>0.53756460947951534</v>
      </c>
      <c r="K80" s="55">
        <v>0.61831562333966072</v>
      </c>
      <c r="L80" s="55">
        <v>0.69205623483917622</v>
      </c>
      <c r="M80" s="55">
        <v>0.87135709397151129</v>
      </c>
      <c r="N80" s="56">
        <v>0.8170774651003041</v>
      </c>
      <c r="O80" s="56">
        <v>0.67535792058577415</v>
      </c>
      <c r="P80" s="56">
        <v>0.72245698028030925</v>
      </c>
      <c r="Q80" s="56">
        <v>0.71065026741984694</v>
      </c>
      <c r="R80" s="56">
        <v>0.81219859611154344</v>
      </c>
      <c r="S80">
        <f t="shared" si="3"/>
        <v>0.70343236404302112</v>
      </c>
      <c r="T80">
        <f t="shared" si="4"/>
        <v>0.10798394935280708</v>
      </c>
    </row>
    <row r="81" spans="9:20" x14ac:dyDescent="0.25">
      <c r="I81" s="55">
        <v>0.57851967825436879</v>
      </c>
      <c r="J81" s="55">
        <v>0.53858168239547588</v>
      </c>
      <c r="K81" s="55">
        <v>0.61886306356865306</v>
      </c>
      <c r="L81" s="55">
        <v>0.69318709924258404</v>
      </c>
      <c r="M81" s="55">
        <v>0.87187009789859515</v>
      </c>
      <c r="N81" s="56">
        <v>0.81749582993636905</v>
      </c>
      <c r="O81" s="56">
        <v>0.67584857062378678</v>
      </c>
      <c r="P81" s="56">
        <v>0.72368598182672994</v>
      </c>
      <c r="Q81" s="56">
        <v>0.71170252770642539</v>
      </c>
      <c r="R81" s="56">
        <v>0.81164186422479812</v>
      </c>
      <c r="S81">
        <f t="shared" si="3"/>
        <v>0.70413963956777859</v>
      </c>
      <c r="T81">
        <f t="shared" si="4"/>
        <v>0.10768336641634269</v>
      </c>
    </row>
    <row r="82" spans="9:20" x14ac:dyDescent="0.25">
      <c r="I82" s="55">
        <v>0.57974732692614706</v>
      </c>
      <c r="J82" s="55">
        <v>0.53959467633686298</v>
      </c>
      <c r="K82" s="55">
        <v>0.61940081352544907</v>
      </c>
      <c r="L82" s="55">
        <v>0.69431121148586616</v>
      </c>
      <c r="M82" s="55">
        <v>0.8723675399262335</v>
      </c>
      <c r="N82" s="56">
        <v>0.81789915186652873</v>
      </c>
      <c r="O82" s="56">
        <v>0.67632783778948613</v>
      </c>
      <c r="P82" s="56">
        <v>0.72490833740912475</v>
      </c>
      <c r="Q82" s="56">
        <v>0.71274696060544696</v>
      </c>
      <c r="R82" s="56">
        <v>0.81106381632700963</v>
      </c>
      <c r="S82">
        <f t="shared" si="3"/>
        <v>0.70483676721981547</v>
      </c>
      <c r="T82">
        <f t="shared" si="4"/>
        <v>0.1073801414051383</v>
      </c>
    </row>
    <row r="83" spans="9:20" x14ac:dyDescent="0.25">
      <c r="I83" s="55">
        <v>0.58097156742512035</v>
      </c>
      <c r="J83" s="55">
        <v>0.54060337398514269</v>
      </c>
      <c r="K83" s="55">
        <v>0.61992860642899339</v>
      </c>
      <c r="L83" s="55">
        <v>0.69542828562555348</v>
      </c>
      <c r="M83" s="55">
        <v>0.87284904050568923</v>
      </c>
      <c r="N83" s="56">
        <v>0.8182870743508952</v>
      </c>
      <c r="O83" s="56">
        <v>0.67679542905110102</v>
      </c>
      <c r="P83" s="56">
        <v>0.72612375010477448</v>
      </c>
      <c r="Q83" s="56">
        <v>0.71378326917539836</v>
      </c>
      <c r="R83" s="56">
        <v>0.810464100669953</v>
      </c>
      <c r="S83">
        <f t="shared" si="3"/>
        <v>0.70552344973226211</v>
      </c>
      <c r="T83">
        <f t="shared" si="4"/>
        <v>0.10707428213789164</v>
      </c>
    </row>
    <row r="84" spans="9:20" x14ac:dyDescent="0.25">
      <c r="I84" s="55">
        <v>0.58219216664006024</v>
      </c>
      <c r="J84" s="55">
        <v>0.54160755332669575</v>
      </c>
      <c r="K84" s="55">
        <v>0.62044617099325328</v>
      </c>
      <c r="L84" s="55">
        <v>0.6965380299127899</v>
      </c>
      <c r="M84" s="55">
        <v>0.87331421415626553</v>
      </c>
      <c r="N84" s="56">
        <v>0.8186592353912947</v>
      </c>
      <c r="O84" s="56">
        <v>0.67725104662726399</v>
      </c>
      <c r="P84" s="56">
        <v>0.72733191686444221</v>
      </c>
      <c r="Q84" s="56">
        <v>0.71481115066529421</v>
      </c>
      <c r="R84" s="56">
        <v>0.80984236186098146</v>
      </c>
      <c r="S84">
        <f t="shared" si="3"/>
        <v>0.70619938464383414</v>
      </c>
      <c r="T84">
        <f t="shared" si="4"/>
        <v>0.10676579778267291</v>
      </c>
    </row>
    <row r="85" spans="9:20" x14ac:dyDescent="0.25">
      <c r="I85" s="55">
        <v>0.58340888617024489</v>
      </c>
      <c r="J85" s="55">
        <v>0.54260698759443571</v>
      </c>
      <c r="K85" s="55">
        <v>0.62095323139747183</v>
      </c>
      <c r="L85" s="55">
        <v>0.6976401467289064</v>
      </c>
      <c r="M85" s="55">
        <v>0.87376266943888636</v>
      </c>
      <c r="N85" s="56">
        <v>0.81901526751026132</v>
      </c>
      <c r="O85" s="56">
        <v>0.67769438796096282</v>
      </c>
      <c r="P85" s="56">
        <v>0.72853252844219119</v>
      </c>
      <c r="Q85" s="56">
        <v>0.71583029645507978</v>
      </c>
      <c r="R85" s="56">
        <v>0.80919824090025705</v>
      </c>
      <c r="S85">
        <f t="shared" si="3"/>
        <v>0.7068642642598697</v>
      </c>
      <c r="T85">
        <f t="shared" si="4"/>
        <v>0.10645469890688838</v>
      </c>
    </row>
    <row r="86" spans="9:20" x14ac:dyDescent="0.25">
      <c r="I86" s="55">
        <v>0.58462148225511967</v>
      </c>
      <c r="J86" s="55">
        <v>0.54360144521028964</v>
      </c>
      <c r="K86" s="55">
        <v>0.62144950725831016</v>
      </c>
      <c r="L86" s="55">
        <v>0.69873433252239225</v>
      </c>
      <c r="M86" s="55">
        <v>0.87419400893265886</v>
      </c>
      <c r="N86" s="56">
        <v>0.81935479773288633</v>
      </c>
      <c r="O86" s="56">
        <v>0.67812514569567561</v>
      </c>
      <c r="P86" s="56">
        <v>0.72972526932660275</v>
      </c>
      <c r="Q86" s="56">
        <v>0.71684039199761873</v>
      </c>
      <c r="R86" s="56">
        <v>0.80853137522197183</v>
      </c>
      <c r="S86">
        <f t="shared" si="3"/>
        <v>0.70751777561535267</v>
      </c>
      <c r="T86">
        <f t="shared" si="4"/>
        <v>0.10614099752838364</v>
      </c>
    </row>
    <row r="87" spans="9:20" x14ac:dyDescent="0.25">
      <c r="I87" s="55">
        <v>0.58582970570479775</v>
      </c>
      <c r="J87" s="55">
        <v>0.54459068972863933</v>
      </c>
      <c r="K87" s="55">
        <v>0.62193471360397656</v>
      </c>
      <c r="L87" s="55">
        <v>0.699820277747357</v>
      </c>
      <c r="M87" s="55">
        <v>0.87460782921459801</v>
      </c>
      <c r="N87" s="56">
        <v>0.81967744757171124</v>
      </c>
      <c r="O87" s="56">
        <v>0.67854300765384046</v>
      </c>
      <c r="P87" s="56">
        <v>0.73090981767347651</v>
      </c>
      <c r="Q87" s="56">
        <v>0.71784111676237283</v>
      </c>
      <c r="R87" s="56">
        <v>0.80784139873966321</v>
      </c>
      <c r="S87">
        <f t="shared" si="3"/>
        <v>0.70815960044004345</v>
      </c>
      <c r="T87">
        <f t="shared" si="4"/>
        <v>0.10582470716769836</v>
      </c>
    </row>
    <row r="88" spans="9:20" x14ac:dyDescent="0.25">
      <c r="I88" s="55">
        <v>0.58703330183144931</v>
      </c>
      <c r="J88" s="55">
        <v>0.54557447978083129</v>
      </c>
      <c r="K88" s="55">
        <v>0.62240856085046459</v>
      </c>
      <c r="L88" s="55">
        <v>0.7008976668036353</v>
      </c>
      <c r="M88" s="55">
        <v>0.87500372084263656</v>
      </c>
      <c r="N88" s="56">
        <v>0.81998283301480679</v>
      </c>
      <c r="O88" s="56">
        <v>0.67894765681775082</v>
      </c>
      <c r="P88" s="56">
        <v>0.73208584524017095</v>
      </c>
      <c r="Q88" s="56">
        <v>0.71883214418093777</v>
      </c>
      <c r="R88" s="56">
        <v>0.80712794189581516</v>
      </c>
      <c r="S88">
        <f t="shared" si="3"/>
        <v>0.70878941512584981</v>
      </c>
      <c r="T88">
        <f t="shared" si="4"/>
        <v>0.10550584290142315</v>
      </c>
    </row>
    <row r="89" spans="9:20" x14ac:dyDescent="0.25">
      <c r="I89" s="55">
        <v>0.58823201038175299</v>
      </c>
      <c r="J89" s="55">
        <v>0.54655256902083293</v>
      </c>
      <c r="K89" s="55">
        <v>0.6228707547800495</v>
      </c>
      <c r="L89" s="55">
        <v>0.7019661779786559</v>
      </c>
      <c r="M89" s="55">
        <v>0.87538126834216001</v>
      </c>
      <c r="N89" s="56">
        <v>0.82027056451720803</v>
      </c>
      <c r="O89" s="56">
        <v>0.67933877131306952</v>
      </c>
      <c r="P89" s="56">
        <v>0.73325301732171932</v>
      </c>
      <c r="Q89" s="56">
        <v>0.71981314159453835</v>
      </c>
      <c r="R89" s="56">
        <v>0.80639063171588365</v>
      </c>
      <c r="S89">
        <f t="shared" si="3"/>
        <v>0.70940689069658702</v>
      </c>
      <c r="T89">
        <f t="shared" si="4"/>
        <v>0.10518442141668903</v>
      </c>
    </row>
    <row r="90" spans="9:20" x14ac:dyDescent="0.25">
      <c r="I90" s="55">
        <v>0.58942556547046654</v>
      </c>
      <c r="J90" s="55">
        <v>0.54752470607218195</v>
      </c>
      <c r="K90" s="55">
        <v>0.62332099652212913</v>
      </c>
      <c r="L90" s="55">
        <v>0.70302548339124049</v>
      </c>
      <c r="M90" s="55">
        <v>0.87574005019619372</v>
      </c>
      <c r="N90" s="56">
        <v>0.82054024699586514</v>
      </c>
      <c r="O90" s="56">
        <v>0.67971602439504342</v>
      </c>
      <c r="P90" s="56">
        <v>0.73441099268887222</v>
      </c>
      <c r="Q90" s="56">
        <v>0.72078377020367279</v>
      </c>
      <c r="R90" s="56">
        <v>0.80562909186690801</v>
      </c>
      <c r="S90">
        <f t="shared" si="3"/>
        <v>0.71001169278025744</v>
      </c>
      <c r="T90">
        <f t="shared" si="4"/>
        <v>0.10486046106676777</v>
      </c>
    </row>
    <row r="91" spans="9:20" x14ac:dyDescent="0.25">
      <c r="I91" s="55">
        <v>0.59061369551529286</v>
      </c>
      <c r="J91" s="55">
        <v>0.54849063447630764</v>
      </c>
      <c r="K91" s="55">
        <v>0.62375898253657425</v>
      </c>
      <c r="L91" s="55">
        <v>0.70407524893744311</v>
      </c>
      <c r="M91" s="55">
        <v>0.87607963883944817</v>
      </c>
      <c r="N91" s="56">
        <v>0.82079147982829048</v>
      </c>
      <c r="O91" s="56">
        <v>0.68007908443760079</v>
      </c>
      <c r="P91" s="56">
        <v>0.73555942352820969</v>
      </c>
      <c r="Q91" s="56">
        <v>0.7217436850200184</v>
      </c>
      <c r="R91" s="56">
        <v>0.80484294272085755</v>
      </c>
      <c r="S91">
        <f t="shared" si="3"/>
        <v>0.71060348158400433</v>
      </c>
      <c r="T91">
        <f t="shared" si="4"/>
        <v>0.10453398192773368</v>
      </c>
    </row>
    <row r="92" spans="9:20" x14ac:dyDescent="0.25">
      <c r="I92" s="55">
        <v>0.59179612317312058</v>
      </c>
      <c r="J92" s="55">
        <v>0.54945009264237332</v>
      </c>
      <c r="K92" s="55">
        <v>0.62418440459971158</v>
      </c>
      <c r="L92" s="55">
        <v>0.70511513423860606</v>
      </c>
      <c r="M92" s="55">
        <v>0.87639960065641664</v>
      </c>
      <c r="N92" s="56">
        <v>0.82102385685507939</v>
      </c>
      <c r="O92" s="56">
        <v>0.68042761492545645</v>
      </c>
      <c r="P92" s="56">
        <v>0.736697955384508</v>
      </c>
      <c r="Q92" s="56">
        <v>0.72269253482078366</v>
      </c>
      <c r="R92" s="56">
        <v>0.80403180142289254</v>
      </c>
      <c r="S92">
        <f t="shared" si="3"/>
        <v>0.71118191187189483</v>
      </c>
      <c r="T92">
        <f t="shared" si="4"/>
        <v>0.10420500585621485</v>
      </c>
    </row>
    <row r="93" spans="9:20" x14ac:dyDescent="0.25">
      <c r="I93" s="55">
        <v>0.59297256527778597</v>
      </c>
      <c r="J93" s="55">
        <v>0.55040281379871603</v>
      </c>
      <c r="K93" s="55">
        <v>0.62459694979307367</v>
      </c>
      <c r="L93" s="55">
        <v>0.70614479259179697</v>
      </c>
      <c r="M93" s="55">
        <v>0.8766994959836959</v>
      </c>
      <c r="N93" s="56">
        <v>0.82123696638647992</v>
      </c>
      <c r="O93" s="56">
        <v>0.68076127444939183</v>
      </c>
      <c r="P93" s="56">
        <v>0.73782622710546886</v>
      </c>
      <c r="Q93" s="56">
        <v>0.72362996210563935</v>
      </c>
      <c r="R93" s="56">
        <v>0.80319528196469292</v>
      </c>
      <c r="S93">
        <f t="shared" si="3"/>
        <v>0.71174663294567408</v>
      </c>
      <c r="T93">
        <f t="shared" si="4"/>
        <v>0.10387355654816396</v>
      </c>
    </row>
    <row r="94" spans="9:20" x14ac:dyDescent="0.25">
      <c r="I94" s="55">
        <v>0.5941427327795078</v>
      </c>
      <c r="J94" s="55">
        <v>0.55134852594607242</v>
      </c>
      <c r="K94" s="55">
        <v>0.62499630049507005</v>
      </c>
      <c r="L94" s="55">
        <v>0.70716387092276078</v>
      </c>
      <c r="M94" s="55">
        <v>0.87697887911676209</v>
      </c>
      <c r="N94" s="56">
        <v>0.82143039121319439</v>
      </c>
      <c r="O94" s="56">
        <v>0.68107971670485268</v>
      </c>
      <c r="P94" s="56">
        <v>0.73894387078905588</v>
      </c>
      <c r="Q94" s="56">
        <v>0.72455560305642341</v>
      </c>
      <c r="R94" s="56">
        <v>0.80233299526303725</v>
      </c>
      <c r="S94">
        <f t="shared" si="3"/>
        <v>0.71229728862867359</v>
      </c>
      <c r="T94">
        <f t="shared" si="4"/>
        <v>0.10353965959865007</v>
      </c>
    </row>
    <row r="95" spans="9:20" x14ac:dyDescent="0.25">
      <c r="I95" s="55">
        <v>0.59530633068610062</v>
      </c>
      <c r="J95" s="55">
        <v>0.55228695181264831</v>
      </c>
      <c r="K95" s="55">
        <v>0.62538213437571177</v>
      </c>
      <c r="L95" s="55">
        <v>0.70817200974156957</v>
      </c>
      <c r="M95" s="55">
        <v>0.87723729832136432</v>
      </c>
      <c r="N95" s="56">
        <v>0.82160370862162202</v>
      </c>
      <c r="O95" s="56">
        <v>0.68138259049402983</v>
      </c>
      <c r="P95" s="56">
        <v>0.74005051173354508</v>
      </c>
      <c r="Q95" s="56">
        <v>0.72546908749977468</v>
      </c>
      <c r="R95" s="56">
        <v>0.80144454924376329</v>
      </c>
      <c r="S95">
        <f t="shared" si="3"/>
        <v>0.71283351725301303</v>
      </c>
      <c r="T95">
        <f t="shared" si="4"/>
        <v>0.1032033425626184</v>
      </c>
    </row>
    <row r="96" spans="9:20" x14ac:dyDescent="0.25">
      <c r="I96" s="55">
        <v>0.59646305800613675</v>
      </c>
      <c r="J96" s="55">
        <v>0.55321780881124061</v>
      </c>
      <c r="K96" s="55">
        <v>0.62575412439455969</v>
      </c>
      <c r="L96" s="55">
        <v>0.70916884310115869</v>
      </c>
      <c r="M96" s="55">
        <v>0.87747429584980108</v>
      </c>
      <c r="N96" s="56">
        <v>0.82175649041371079</v>
      </c>
      <c r="O96" s="56">
        <v>0.68166953973158373</v>
      </c>
      <c r="P96" s="56">
        <v>0.74114576839051716</v>
      </c>
      <c r="Q96" s="56">
        <v>0.72637003887287532</v>
      </c>
      <c r="R96" s="56">
        <v>0.80052954893133998</v>
      </c>
      <c r="S96">
        <f t="shared" si="3"/>
        <v>0.71335495165029239</v>
      </c>
      <c r="T96">
        <f t="shared" si="4"/>
        <v>0.10286463501659246</v>
      </c>
    </row>
    <row r="97" spans="9:20" x14ac:dyDescent="0.25">
      <c r="I97" s="55">
        <v>0.59761260769421432</v>
      </c>
      <c r="J97" s="55">
        <v>0.55414080899849272</v>
      </c>
      <c r="K97" s="55">
        <v>0.62611193880202898</v>
      </c>
      <c r="L97" s="55">
        <v>0.71015399855890016</v>
      </c>
      <c r="M97" s="55">
        <v>0.87768940796222583</v>
      </c>
      <c r="N97" s="56">
        <v>0.82188830293163573</v>
      </c>
      <c r="O97" s="56">
        <v>0.68194020345418349</v>
      </c>
      <c r="P97" s="56">
        <v>0.74222925232095038</v>
      </c>
      <c r="Q97" s="56">
        <v>0.72725807419248589</v>
      </c>
      <c r="R97" s="56">
        <v>0.79958759654416312</v>
      </c>
      <c r="S97">
        <f t="shared" si="3"/>
        <v>0.71386121914592815</v>
      </c>
      <c r="T97">
        <f t="shared" si="4"/>
        <v>0.1025235686212449</v>
      </c>
    </row>
    <row r="98" spans="9:20" x14ac:dyDescent="0.25">
      <c r="I98" s="55">
        <v>0.59875466659844645</v>
      </c>
      <c r="J98" s="55">
        <v>0.55505565903645238</v>
      </c>
      <c r="K98" s="55">
        <v>0.62645524114422557</v>
      </c>
      <c r="L98" s="55">
        <v>0.71112709714141253</v>
      </c>
      <c r="M98" s="55">
        <v>0.87788216495324634</v>
      </c>
      <c r="N98" s="56">
        <v>0.82199870708750289</v>
      </c>
      <c r="O98" s="56">
        <v>0.68219421583402329</v>
      </c>
      <c r="P98" s="56">
        <v>0.74330056815462542</v>
      </c>
      <c r="Q98" s="56">
        <v>0.72813280402746461</v>
      </c>
      <c r="R98" s="56">
        <v>0.79861829159579878</v>
      </c>
      <c r="S98">
        <f t="shared" si="3"/>
        <v>0.71435194155731974</v>
      </c>
      <c r="T98">
        <f t="shared" si="4"/>
        <v>0.10218017718484021</v>
      </c>
    </row>
    <row r="99" spans="9:20" x14ac:dyDescent="0.25">
      <c r="I99" s="55">
        <v>0.59988891541038258</v>
      </c>
      <c r="J99" s="55">
        <v>0.555962060156594</v>
      </c>
      <c r="K99" s="55">
        <v>0.62678369027145775</v>
      </c>
      <c r="L99" s="55">
        <v>0.71208775331279417</v>
      </c>
      <c r="M99" s="55">
        <v>0.87805209118404193</v>
      </c>
      <c r="N99" s="56">
        <v>0.82208725839828556</v>
      </c>
      <c r="O99" s="56">
        <v>0.68243120619650055</v>
      </c>
      <c r="P99" s="56">
        <v>0.74435931355301566</v>
      </c>
      <c r="Q99" s="56">
        <v>0.72899383247495364</v>
      </c>
      <c r="R99" s="56">
        <v>0.79762123100231352</v>
      </c>
      <c r="S99">
        <f t="shared" si="3"/>
        <v>0.71482673519603401</v>
      </c>
      <c r="T99">
        <f t="shared" si="4"/>
        <v>0.10183449672741934</v>
      </c>
    </row>
    <row r="100" spans="9:20" x14ac:dyDescent="0.25">
      <c r="I100" s="55">
        <v>0.60101502861749856</v>
      </c>
      <c r="J100" s="55">
        <v>0.55685970812642049</v>
      </c>
      <c r="K100" s="55">
        <v>0.62709694035062158</v>
      </c>
      <c r="L100" s="55">
        <v>0.71303557494648229</v>
      </c>
      <c r="M100" s="55">
        <v>0.87819870512018372</v>
      </c>
      <c r="N100" s="56">
        <v>0.82215350702619283</v>
      </c>
      <c r="O100" s="56">
        <v>0.6826507990422267</v>
      </c>
      <c r="P100" s="56">
        <v>0.7454050791759097</v>
      </c>
      <c r="Q100" s="56">
        <v>0.72984075714044983</v>
      </c>
      <c r="R100" s="56">
        <v>0.79659600919587648</v>
      </c>
      <c r="S100">
        <f t="shared" ref="S100:S103" si="5">AVERAGE(I100:R100)</f>
        <v>0.71528521087418628</v>
      </c>
      <c r="T100">
        <f t="shared" si="4"/>
        <v>0.10148656554573927</v>
      </c>
    </row>
    <row r="101" spans="9:20" x14ac:dyDescent="0.25">
      <c r="I101" s="55">
        <v>0.60213267445842578</v>
      </c>
      <c r="J101" s="55">
        <v>0.55774829321884645</v>
      </c>
      <c r="K101" s="55">
        <v>0.62739464088158703</v>
      </c>
      <c r="L101" s="55">
        <v>0.71397016330092011</v>
      </c>
      <c r="M101" s="55">
        <v>0.87832151937543157</v>
      </c>
      <c r="N101" s="56">
        <v>0.82219699782470579</v>
      </c>
      <c r="O101" s="56">
        <v>0.68285261407355569</v>
      </c>
      <c r="P101" s="56">
        <v>0.74643744865193684</v>
      </c>
      <c r="Q101" s="56">
        <v>0.73067316912193647</v>
      </c>
      <c r="R101" s="56">
        <v>0.7955422182448485</v>
      </c>
      <c r="S101">
        <f t="shared" si="5"/>
        <v>0.71572697391521944</v>
      </c>
      <c r="T101">
        <f t="shared" si="4"/>
        <v>0.10113642427882197</v>
      </c>
    </row>
    <row r="102" spans="9:20" x14ac:dyDescent="0.25">
      <c r="I102" s="55">
        <v>0.60324151488111655</v>
      </c>
      <c r="J102" s="55">
        <v>0.55862750018449681</v>
      </c>
      <c r="K102" s="55">
        <v>0.62767643671778384</v>
      </c>
      <c r="L102" s="55">
        <v>0.714891112999261</v>
      </c>
      <c r="M102" s="55">
        <v>0.87842004076173041</v>
      </c>
      <c r="N102" s="56">
        <v>0.82221727039048809</v>
      </c>
      <c r="O102" s="56">
        <v>0.6830362662258147</v>
      </c>
      <c r="P102" s="56">
        <v>0.74745599855321332</v>
      </c>
      <c r="Q102" s="56">
        <v>0.73149065299831295</v>
      </c>
      <c r="R102" s="56">
        <v>0.79445944798046186</v>
      </c>
      <c r="S102">
        <f t="shared" si="5"/>
        <v>0.71615162416926792</v>
      </c>
      <c r="T102">
        <f t="shared" si="4"/>
        <v>0.10078411597409767</v>
      </c>
    </row>
    <row r="103" spans="9:20" x14ac:dyDescent="0.25">
      <c r="I103" s="55">
        <v>0.60434120550410941</v>
      </c>
      <c r="J103" s="55">
        <v>0.55949700822709403</v>
      </c>
      <c r="K103" s="55">
        <v>0.6279419680911712</v>
      </c>
      <c r="L103" s="55">
        <v>0.7157980120133064</v>
      </c>
      <c r="M103" s="55">
        <v>0.87849377034562881</v>
      </c>
      <c r="N103" s="56">
        <v>0.82221385912138323</v>
      </c>
      <c r="O103" s="56">
        <v>0.68320136570342371</v>
      </c>
      <c r="P103" s="56">
        <v>0.74846029837437089</v>
      </c>
      <c r="Q103" s="56">
        <v>0.73229278682232268</v>
      </c>
      <c r="R103" s="56">
        <v>0.79334728613033612</v>
      </c>
      <c r="S103">
        <f t="shared" si="5"/>
        <v>0.71655875603331465</v>
      </c>
      <c r="T103">
        <f t="shared" si="4"/>
        <v>0.1004296861540096</v>
      </c>
    </row>
    <row r="104" spans="9:20" x14ac:dyDescent="0.25">
      <c r="S104" s="57">
        <f>AVERAGE(S4:S103)</f>
        <v>0.680112360346394</v>
      </c>
      <c r="T104" s="57">
        <f>STDEV(S4:S103)</f>
        <v>2.4499363021491808E-2</v>
      </c>
    </row>
  </sheetData>
  <mergeCells count="2">
    <mergeCell ref="B38:G39"/>
    <mergeCell ref="B1:CE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 tint="0.79998168889431442"/>
  </sheetPr>
  <dimension ref="B1:CE104"/>
  <sheetViews>
    <sheetView showGridLines="0" zoomScaleNormal="100" workbookViewId="0">
      <selection activeCell="B38" sqref="B38:G39"/>
    </sheetView>
  </sheetViews>
  <sheetFormatPr defaultRowHeight="15" x14ac:dyDescent="0.25"/>
  <cols>
    <col min="9" max="13" width="13.42578125" style="54" customWidth="1"/>
    <col min="14" max="18" width="13.42578125" style="88" customWidth="1"/>
  </cols>
  <sheetData>
    <row r="1" spans="2:83" ht="29.25" customHeight="1" x14ac:dyDescent="0.25">
      <c r="B1" s="149" t="s">
        <v>26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  <c r="BF1" s="149"/>
      <c r="BG1" s="149"/>
      <c r="BH1" s="149"/>
      <c r="BI1" s="149"/>
      <c r="BJ1" s="149"/>
      <c r="BK1" s="149"/>
      <c r="BL1" s="149"/>
      <c r="BM1" s="149"/>
      <c r="BN1" s="149"/>
      <c r="BO1" s="149"/>
      <c r="BP1" s="149"/>
      <c r="BQ1" s="149"/>
      <c r="BR1" s="149"/>
      <c r="BS1" s="149"/>
      <c r="BT1" s="149"/>
      <c r="BU1" s="149"/>
      <c r="BV1" s="149"/>
      <c r="BW1" s="149"/>
      <c r="BX1" s="149"/>
      <c r="BY1" s="149"/>
      <c r="BZ1" s="149"/>
      <c r="CA1" s="149"/>
      <c r="CB1" s="149"/>
      <c r="CC1" s="149"/>
      <c r="CD1" s="149"/>
      <c r="CE1" s="149"/>
    </row>
    <row r="2" spans="2:83" ht="14.25" customHeight="1" x14ac:dyDescent="0.25">
      <c r="I2" s="89" t="s">
        <v>23</v>
      </c>
      <c r="J2" s="89" t="s">
        <v>23</v>
      </c>
      <c r="K2" s="89" t="s">
        <v>23</v>
      </c>
      <c r="L2" s="89" t="s">
        <v>23</v>
      </c>
      <c r="M2" s="89" t="s">
        <v>23</v>
      </c>
      <c r="N2" s="89" t="s">
        <v>24</v>
      </c>
      <c r="O2" s="89" t="s">
        <v>24</v>
      </c>
      <c r="P2" s="89" t="s">
        <v>24</v>
      </c>
      <c r="Q2" s="89" t="s">
        <v>24</v>
      </c>
      <c r="R2" s="89" t="s">
        <v>24</v>
      </c>
      <c r="S2" s="90" t="s">
        <v>25</v>
      </c>
      <c r="T2" s="90" t="s">
        <v>1</v>
      </c>
    </row>
    <row r="3" spans="2:83" hidden="1" x14ac:dyDescent="0.25"/>
    <row r="4" spans="2:83" x14ac:dyDescent="0.25">
      <c r="I4" s="54">
        <v>0.9532603710893206</v>
      </c>
      <c r="J4" s="54">
        <v>0.92227938524252662</v>
      </c>
      <c r="K4" s="54">
        <v>0.86151911346514143</v>
      </c>
      <c r="L4" s="54">
        <v>0.86835077784030634</v>
      </c>
      <c r="M4" s="54">
        <v>0.7078129217700847</v>
      </c>
      <c r="N4" s="88">
        <v>0.91238320906604742</v>
      </c>
      <c r="O4" s="88">
        <v>0.96193904645673212</v>
      </c>
      <c r="P4" s="88">
        <v>0.96152442969074348</v>
      </c>
      <c r="Q4" s="88">
        <v>0.93328385220951771</v>
      </c>
      <c r="R4" s="88">
        <v>0.96251944559726044</v>
      </c>
      <c r="S4">
        <f t="shared" ref="S4:S35" si="0">AVERAGE(I4:R4)</f>
        <v>0.90448725524276807</v>
      </c>
      <c r="T4">
        <f>STDEV(I4:R4)</f>
        <v>7.8415948744004565E-2</v>
      </c>
    </row>
    <row r="5" spans="2:83" x14ac:dyDescent="0.25">
      <c r="I5" s="54">
        <v>0.95332311193347574</v>
      </c>
      <c r="J5" s="54">
        <v>0.92192135932592711</v>
      </c>
      <c r="K5" s="54">
        <v>0.86144180954938199</v>
      </c>
      <c r="L5" s="54">
        <v>0.86788263512256236</v>
      </c>
      <c r="M5" s="54">
        <v>0.70762865613595549</v>
      </c>
      <c r="N5" s="88">
        <v>0.91268122579805366</v>
      </c>
      <c r="O5" s="88">
        <v>0.96170511430680627</v>
      </c>
      <c r="P5" s="88">
        <v>0.9613101646305402</v>
      </c>
      <c r="Q5" s="88">
        <v>0.93313624953549834</v>
      </c>
      <c r="R5" s="88">
        <v>0.9625527733539071</v>
      </c>
      <c r="S5">
        <f t="shared" si="0"/>
        <v>0.90435830996921085</v>
      </c>
      <c r="T5">
        <f t="shared" ref="T5:T68" si="1">STDEV(I5:R5)</f>
        <v>7.8455278212473445E-2</v>
      </c>
    </row>
    <row r="6" spans="2:83" x14ac:dyDescent="0.25">
      <c r="I6" s="54">
        <v>0.95337838478843884</v>
      </c>
      <c r="J6" s="54">
        <v>0.92155361268276814</v>
      </c>
      <c r="K6" s="54">
        <v>0.86135693754774323</v>
      </c>
      <c r="L6" s="54">
        <v>0.86740459908644685</v>
      </c>
      <c r="M6" s="54">
        <v>0.70743745470314667</v>
      </c>
      <c r="N6" s="88">
        <v>0.91297359879847217</v>
      </c>
      <c r="O6" s="88">
        <v>0.96146185296636666</v>
      </c>
      <c r="P6" s="88">
        <v>0.96108668958944876</v>
      </c>
      <c r="Q6" s="88">
        <v>0.9329800653747562</v>
      </c>
      <c r="R6" s="88">
        <v>0.96257837525592893</v>
      </c>
      <c r="S6">
        <f t="shared" si="0"/>
        <v>0.90422115707935158</v>
      </c>
      <c r="T6">
        <f t="shared" si="1"/>
        <v>7.8494800848108892E-2</v>
      </c>
    </row>
    <row r="7" spans="2:83" x14ac:dyDescent="0.25">
      <c r="I7" s="54">
        <v>0.95342604673032882</v>
      </c>
      <c r="J7" s="54">
        <v>0.92117599521850524</v>
      </c>
      <c r="K7" s="54">
        <v>0.86126436413737473</v>
      </c>
      <c r="L7" s="54">
        <v>0.86691652545435438</v>
      </c>
      <c r="M7" s="54">
        <v>0.70723920455899836</v>
      </c>
      <c r="N7" s="88">
        <v>0.91326019957096594</v>
      </c>
      <c r="O7" s="88">
        <v>0.96120910942123616</v>
      </c>
      <c r="P7" s="88">
        <v>0.96085385214518149</v>
      </c>
      <c r="Q7" s="88">
        <v>0.93281515345231614</v>
      </c>
      <c r="R7" s="88">
        <v>0.96259610602583212</v>
      </c>
      <c r="S7">
        <f t="shared" si="0"/>
        <v>0.90407565567150916</v>
      </c>
      <c r="T7">
        <f t="shared" si="1"/>
        <v>7.8534515879146283E-2</v>
      </c>
    </row>
    <row r="8" spans="2:83" x14ac:dyDescent="0.25">
      <c r="I8" s="54">
        <v>0.95346595254154121</v>
      </c>
      <c r="J8" s="54">
        <v>0.92078835473872533</v>
      </c>
      <c r="K8" s="54">
        <v>0.86116395395477419</v>
      </c>
      <c r="L8" s="54">
        <v>0.86641826802053934</v>
      </c>
      <c r="M8" s="54">
        <v>0.70703379114917564</v>
      </c>
      <c r="N8" s="88">
        <v>0.91354089738094391</v>
      </c>
      <c r="O8" s="88">
        <v>0.96094672842099793</v>
      </c>
      <c r="P8" s="88">
        <v>0.96061149763420994</v>
      </c>
      <c r="Q8" s="88">
        <v>0.93264136530005148</v>
      </c>
      <c r="R8" s="88">
        <v>0.96260581807681167</v>
      </c>
      <c r="S8">
        <f t="shared" si="0"/>
        <v>0.9039216627217771</v>
      </c>
      <c r="T8">
        <f t="shared" si="1"/>
        <v>7.8574422457378348E-2</v>
      </c>
    </row>
    <row r="9" spans="2:83" x14ac:dyDescent="0.25">
      <c r="I9" s="54">
        <v>0.95349795467938658</v>
      </c>
      <c r="J9" s="54">
        <v>0.92039053692575601</v>
      </c>
      <c r="K9" s="54">
        <v>0.86105556956958706</v>
      </c>
      <c r="L9" s="54">
        <v>0.86590967863143875</v>
      </c>
      <c r="M9" s="54">
        <v>0.70682109825815009</v>
      </c>
      <c r="N9" s="88">
        <v>0.91381555922192148</v>
      </c>
      <c r="O9" s="88">
        <v>0.96067455245221278</v>
      </c>
      <c r="P9" s="88">
        <v>0.96035946912463266</v>
      </c>
      <c r="Q9" s="88">
        <v>0.93245855022937696</v>
      </c>
      <c r="R9" s="88">
        <v>0.96260736148156467</v>
      </c>
      <c r="S9">
        <f t="shared" si="0"/>
        <v>0.90375903305740279</v>
      </c>
      <c r="T9">
        <f t="shared" si="1"/>
        <v>7.8614519655549303E-2</v>
      </c>
    </row>
    <row r="10" spans="2:83" x14ac:dyDescent="0.25">
      <c r="I10" s="54">
        <v>0.95352190324453978</v>
      </c>
      <c r="J10" s="54">
        <v>0.91998238531527055</v>
      </c>
      <c r="K10" s="54">
        <v>0.86093907145830384</v>
      </c>
      <c r="L10" s="54">
        <v>0.86539060716604055</v>
      </c>
      <c r="M10" s="54">
        <v>0.70660100798965964</v>
      </c>
      <c r="N10" s="88">
        <v>0.91408404978160251</v>
      </c>
      <c r="O10" s="88">
        <v>0.96039242171157002</v>
      </c>
      <c r="P10" s="88">
        <v>0.96009760738900563</v>
      </c>
      <c r="Q10" s="88">
        <v>0.93226655530380853</v>
      </c>
      <c r="R10" s="88">
        <v>0.96260058394091508</v>
      </c>
      <c r="S10">
        <f t="shared" si="0"/>
        <v>0.90358761933007181</v>
      </c>
      <c r="T10">
        <f t="shared" si="1"/>
        <v>7.8654806464675778E-2</v>
      </c>
    </row>
    <row r="11" spans="2:83" x14ac:dyDescent="0.25">
      <c r="I11" s="54">
        <v>0.95353764594928481</v>
      </c>
      <c r="J11" s="54">
        <v>0.91956374127294238</v>
      </c>
      <c r="K11" s="54">
        <v>0.86081431797783514</v>
      </c>
      <c r="L11" s="54">
        <v>0.86486090151634087</v>
      </c>
      <c r="M11" s="54">
        <v>0.70637340074712207</v>
      </c>
      <c r="N11" s="88">
        <v>0.91434623140763127</v>
      </c>
      <c r="O11" s="88">
        <v>0.96010017407897341</v>
      </c>
      <c r="P11" s="88">
        <v>0.95982575087709654</v>
      </c>
      <c r="Q11" s="88">
        <v>0.93206522531146618</v>
      </c>
      <c r="R11" s="88">
        <v>0.96258533075226005</v>
      </c>
      <c r="S11">
        <f t="shared" si="0"/>
        <v>0.90340727198909521</v>
      </c>
      <c r="T11">
        <f t="shared" si="1"/>
        <v>7.8695281791298907E-2</v>
      </c>
    </row>
    <row r="12" spans="2:83" x14ac:dyDescent="0.25">
      <c r="I12" s="54">
        <v>0.95354502808555819</v>
      </c>
      <c r="J12" s="54">
        <v>0.9191344439710929</v>
      </c>
      <c r="K12" s="54">
        <v>0.8606811653389751</v>
      </c>
      <c r="L12" s="54">
        <v>0.86432040756791872</v>
      </c>
      <c r="M12" s="54">
        <v>0.70613815521402334</v>
      </c>
      <c r="N12" s="88">
        <v>0.91460196407303929</v>
      </c>
      <c r="O12" s="88">
        <v>0.95979764509059717</v>
      </c>
      <c r="P12" s="88">
        <v>0.95954373568858431</v>
      </c>
      <c r="Q12" s="88">
        <v>0.93185440273747422</v>
      </c>
      <c r="R12" s="88">
        <v>0.9625614447778158</v>
      </c>
      <c r="S12">
        <f t="shared" si="0"/>
        <v>0.90321783925450794</v>
      </c>
      <c r="T12">
        <f t="shared" si="1"/>
        <v>7.8735944454657619E-2</v>
      </c>
    </row>
    <row r="13" spans="2:83" x14ac:dyDescent="0.25">
      <c r="I13" s="54">
        <v>0.95354389249283478</v>
      </c>
      <c r="J13" s="54">
        <v>0.91869433036543635</v>
      </c>
      <c r="K13" s="54">
        <v>0.86053946757980304</v>
      </c>
      <c r="L13" s="54">
        <v>0.86376896918061308</v>
      </c>
      <c r="M13" s="54">
        <v>0.70589514833433653</v>
      </c>
      <c r="N13" s="88">
        <v>0.91485110534141567</v>
      </c>
      <c r="O13" s="88">
        <v>0.95948466791192588</v>
      </c>
      <c r="P13" s="88">
        <v>0.95925139554574812</v>
      </c>
      <c r="Q13" s="88">
        <v>0.93163392773631559</v>
      </c>
      <c r="R13" s="88">
        <v>0.96252876641272689</v>
      </c>
      <c r="S13">
        <f t="shared" si="0"/>
        <v>0.90301916709011576</v>
      </c>
      <c r="T13">
        <f t="shared" si="1"/>
        <v>7.8776793183781377E-2</v>
      </c>
    </row>
    <row r="14" spans="2:83" x14ac:dyDescent="0.25">
      <c r="I14" s="54">
        <v>0.95353407952583469</v>
      </c>
      <c r="J14" s="54">
        <v>0.91824323517185613</v>
      </c>
      <c r="K14" s="54">
        <v>0.86038907653897567</v>
      </c>
      <c r="L14" s="54">
        <v>0.86320642816934345</v>
      </c>
      <c r="M14" s="54">
        <v>0.70564425529288066</v>
      </c>
      <c r="N14" s="88">
        <v>0.91509351033176489</v>
      </c>
      <c r="O14" s="88">
        <v>0.95916107331078293</v>
      </c>
      <c r="P14" s="88">
        <v>0.9589485617661232</v>
      </c>
      <c r="Q14" s="88">
        <v>0.93140363810413218</v>
      </c>
      <c r="R14" s="88">
        <v>0.96248713355300441</v>
      </c>
      <c r="S14">
        <f t="shared" si="0"/>
        <v>0.90281109917646984</v>
      </c>
      <c r="T14">
        <f t="shared" si="1"/>
        <v>7.8817826614517986E-2</v>
      </c>
    </row>
    <row r="15" spans="2:83" x14ac:dyDescent="0.25">
      <c r="I15" s="54">
        <v>0.95351542702207237</v>
      </c>
      <c r="J15" s="54">
        <v>0.91778099084327269</v>
      </c>
      <c r="K15" s="54">
        <v>0.86022984182897799</v>
      </c>
      <c r="L15" s="54">
        <v>0.86263262428507526</v>
      </c>
      <c r="M15" s="54">
        <v>0.7053853494957516</v>
      </c>
      <c r="N15" s="88">
        <v>0.91532903168311264</v>
      </c>
      <c r="O15" s="88">
        <v>0.95882668963037387</v>
      </c>
      <c r="P15" s="88">
        <v>0.95863506323515746</v>
      </c>
      <c r="Q15" s="88">
        <v>0.93116336925097987</v>
      </c>
      <c r="R15" s="88">
        <v>0.96243638156333899</v>
      </c>
      <c r="S15">
        <f t="shared" si="0"/>
        <v>0.90259347688381142</v>
      </c>
      <c r="T15">
        <f t="shared" si="1"/>
        <v>7.8859043286466216E-2</v>
      </c>
    </row>
    <row r="16" spans="2:83" x14ac:dyDescent="0.25">
      <c r="I16" s="54">
        <v>0.95348777026928111</v>
      </c>
      <c r="J16" s="54">
        <v>0.91730742754663697</v>
      </c>
      <c r="K16" s="54">
        <v>0.8600616108093051</v>
      </c>
      <c r="L16" s="54">
        <v>0.86204739519596429</v>
      </c>
      <c r="M16" s="54">
        <v>0.70511830255074004</v>
      </c>
      <c r="N16" s="88">
        <v>0.91555751951881714</v>
      </c>
      <c r="O16" s="88">
        <v>0.95848134276234198</v>
      </c>
      <c r="P16" s="88">
        <v>0.95831072637889003</v>
      </c>
      <c r="Q16" s="88">
        <v>0.93091295417308029</v>
      </c>
      <c r="R16" s="88">
        <v>0.96237634324478782</v>
      </c>
      <c r="S16">
        <f t="shared" si="0"/>
        <v>0.90236613924498454</v>
      </c>
      <c r="T16">
        <f t="shared" si="1"/>
        <v>7.8900441639839725E-2</v>
      </c>
    </row>
    <row r="17" spans="9:20" x14ac:dyDescent="0.25">
      <c r="I17" s="54">
        <v>0.95345094197268776</v>
      </c>
      <c r="J17" s="54">
        <v>0.91682237314000392</v>
      </c>
      <c r="K17" s="54">
        <v>0.85988422855962754</v>
      </c>
      <c r="L17" s="54">
        <v>0.86145057646869549</v>
      </c>
      <c r="M17" s="54">
        <v>0.70484298424780112</v>
      </c>
      <c r="N17" s="88">
        <v>0.91577882141062994</v>
      </c>
      <c r="O17" s="88">
        <v>0.95812485611988529</v>
      </c>
      <c r="P17" s="88">
        <v>0.95797537513665432</v>
      </c>
      <c r="Q17" s="88">
        <v>0.93065222342505449</v>
      </c>
      <c r="R17" s="88">
        <v>0.96230684880232276</v>
      </c>
      <c r="S17">
        <f t="shared" si="0"/>
        <v>0.90212892292833613</v>
      </c>
      <c r="T17">
        <f t="shared" si="1"/>
        <v>7.8942020012238504E-2</v>
      </c>
    </row>
    <row r="18" spans="9:20" x14ac:dyDescent="0.25">
      <c r="I18" s="54">
        <v>0.95340477222219056</v>
      </c>
      <c r="J18" s="54">
        <v>0.9163256531497791</v>
      </c>
      <c r="K18" s="54">
        <v>0.85969753785290137</v>
      </c>
      <c r="L18" s="54">
        <v>0.86084200155000734</v>
      </c>
      <c r="M18" s="54">
        <v>0.70455926253958934</v>
      </c>
      <c r="N18" s="88">
        <v>0.91599278234251913</v>
      </c>
      <c r="O18" s="88">
        <v>0.95775705061092198</v>
      </c>
      <c r="P18" s="88">
        <v>0.95762883093383022</v>
      </c>
      <c r="Q18" s="88">
        <v>0.93038100509217903</v>
      </c>
      <c r="R18" s="88">
        <v>0.96222772581232008</v>
      </c>
      <c r="S18">
        <f t="shared" si="0"/>
        <v>0.90188166221062382</v>
      </c>
      <c r="T18">
        <f t="shared" si="1"/>
        <v>7.89837766353398E-2</v>
      </c>
    </row>
    <row r="19" spans="9:20" x14ac:dyDescent="0.25">
      <c r="I19" s="54">
        <v>0.95334908845942767</v>
      </c>
      <c r="J19" s="54">
        <v>0.91581709074810536</v>
      </c>
      <c r="K19" s="54">
        <v>0.8595013791285101</v>
      </c>
      <c r="L19" s="54">
        <v>0.86022150174848222</v>
      </c>
      <c r="M19" s="54">
        <v>0.70426700352204241</v>
      </c>
      <c r="N19" s="88">
        <v>0.91619924467422931</v>
      </c>
      <c r="O19" s="88">
        <v>0.95737774461135128</v>
      </c>
      <c r="P19" s="88">
        <v>0.95727091265468178</v>
      </c>
      <c r="Q19" s="88">
        <v>0.9300991247626752</v>
      </c>
      <c r="R19" s="88">
        <v>0.96213879918995071</v>
      </c>
      <c r="S19">
        <f t="shared" si="0"/>
        <v>0.90162418894994578</v>
      </c>
      <c r="T19">
        <f t="shared" si="1"/>
        <v>7.9025709631502225E-2</v>
      </c>
    </row>
    <row r="20" spans="9:20" x14ac:dyDescent="0.25">
      <c r="I20" s="54">
        <v>0.95328371544477364</v>
      </c>
      <c r="J20" s="54">
        <v>0.91529650673044294</v>
      </c>
      <c r="K20" s="54">
        <v>0.85929559046536952</v>
      </c>
      <c r="L20" s="54">
        <v>0.85958890621655526</v>
      </c>
      <c r="M20" s="54">
        <v>0.70396607141505374</v>
      </c>
      <c r="N20" s="88">
        <v>0.91639804810463688</v>
      </c>
      <c r="O20" s="88">
        <v>0.95698675393839339</v>
      </c>
      <c r="P20" s="88">
        <v>0.95690143661526328</v>
      </c>
      <c r="Q20" s="88">
        <v>0.92980640550002214</v>
      </c>
      <c r="R20" s="88">
        <v>0.96203989115649879</v>
      </c>
      <c r="S20">
        <f t="shared" si="0"/>
        <v>0.90135633255870096</v>
      </c>
      <c r="T20">
        <f t="shared" si="1"/>
        <v>7.906781701028065E-2</v>
      </c>
    </row>
    <row r="21" spans="9:20" x14ac:dyDescent="0.25">
      <c r="I21" s="54">
        <v>0.95320847522425745</v>
      </c>
      <c r="J21" s="54">
        <v>0.91476371949334156</v>
      </c>
      <c r="K21" s="54">
        <v>0.85908000755511083</v>
      </c>
      <c r="L21" s="54">
        <v>0.85894404193281593</v>
      </c>
      <c r="M21" s="54">
        <v>0.70365632854324112</v>
      </c>
      <c r="N21" s="88">
        <v>0.91658902963487732</v>
      </c>
      <c r="O21" s="88">
        <v>0.95658389182408055</v>
      </c>
      <c r="P21" s="88">
        <v>0.95652021653644381</v>
      </c>
      <c r="Q21" s="88">
        <v>0.92950266781537483</v>
      </c>
      <c r="R21" s="88">
        <v>0.96193082120663731</v>
      </c>
      <c r="S21">
        <f t="shared" si="0"/>
        <v>0.90107791997661812</v>
      </c>
      <c r="T21">
        <f t="shared" si="1"/>
        <v>7.9110096664850429E-2</v>
      </c>
    </row>
    <row r="22" spans="9:20" x14ac:dyDescent="0.25">
      <c r="I22" s="54">
        <v>0.9531231870964425</v>
      </c>
      <c r="J22" s="54">
        <v>0.91421854501244659</v>
      </c>
      <c r="K22" s="54">
        <v>0.85885446367525631</v>
      </c>
      <c r="L22" s="54">
        <v>0.85828673368461283</v>
      </c>
      <c r="M22" s="54">
        <v>0.7033376353168469</v>
      </c>
      <c r="N22" s="88">
        <v>0.91677202353127829</v>
      </c>
      <c r="O22" s="88">
        <v>0.95616896888887148</v>
      </c>
      <c r="P22" s="88">
        <v>0.956127063517069</v>
      </c>
      <c r="Q22" s="88">
        <v>0.92918772964005492</v>
      </c>
      <c r="R22" s="88">
        <v>0.96181140607569038</v>
      </c>
      <c r="S22">
        <f t="shared" si="0"/>
        <v>0.90078877564385706</v>
      </c>
      <c r="T22">
        <f t="shared" si="1"/>
        <v>7.915254636833767E-2</v>
      </c>
    </row>
    <row r="23" spans="9:20" x14ac:dyDescent="0.25">
      <c r="I23" s="54">
        <v>0.95302766757928048</v>
      </c>
      <c r="J23" s="54">
        <v>0.91366079682075585</v>
      </c>
      <c r="K23" s="54">
        <v>0.85861878966250149</v>
      </c>
      <c r="L23" s="54">
        <v>0.85761680405095797</v>
      </c>
      <c r="M23" s="54">
        <v>0.7030098502127361</v>
      </c>
      <c r="N23" s="88">
        <v>0.91694686128811165</v>
      </c>
      <c r="O23" s="88">
        <v>0.95574179311543839</v>
      </c>
      <c r="P23" s="88">
        <v>0.95572178600727697</v>
      </c>
      <c r="Q23" s="88">
        <v>0.92886140629813674</v>
      </c>
      <c r="R23" s="88">
        <v>0.96168145970686836</v>
      </c>
      <c r="S23">
        <f t="shared" si="0"/>
        <v>0.90048872147420644</v>
      </c>
      <c r="T23">
        <f t="shared" si="1"/>
        <v>7.9195163770062194E-2</v>
      </c>
    </row>
    <row r="24" spans="9:20" x14ac:dyDescent="0.25">
      <c r="I24" s="54">
        <v>0.95292173037693473</v>
      </c>
      <c r="J24" s="54">
        <v>0.91309028598713005</v>
      </c>
      <c r="K24" s="54">
        <v>0.85837281388604225</v>
      </c>
      <c r="L24" s="54">
        <v>0.85693407338580541</v>
      </c>
      <c r="M24" s="54">
        <v>0.7026728297555801</v>
      </c>
      <c r="N24" s="88">
        <v>0.91711337159015882</v>
      </c>
      <c r="O24" s="88">
        <v>0.95530216982265648</v>
      </c>
      <c r="P24" s="88">
        <v>0.95530418978197551</v>
      </c>
      <c r="Q24" s="88">
        <v>0.92852351047919579</v>
      </c>
      <c r="R24" s="88">
        <v>0.96154079321851227</v>
      </c>
      <c r="S24">
        <f t="shared" si="0"/>
        <v>0.90017757682839927</v>
      </c>
      <c r="T24">
        <f t="shared" si="1"/>
        <v>7.923794639167353E-2</v>
      </c>
    </row>
    <row r="25" spans="9:20" x14ac:dyDescent="0.25">
      <c r="I25" s="54">
        <v>0.95280518634664613</v>
      </c>
      <c r="J25" s="54">
        <v>0.91250682109515147</v>
      </c>
      <c r="K25" s="54">
        <v>0.85811636222103516</v>
      </c>
      <c r="L25" s="54">
        <v>0.85623835980167962</v>
      </c>
      <c r="M25" s="54">
        <v>0.70232642849918325</v>
      </c>
      <c r="N25" s="88">
        <v>0.91727138027513411</v>
      </c>
      <c r="O25" s="88">
        <v>0.95484990163979966</v>
      </c>
      <c r="P25" s="88">
        <v>0.95487407791456047</v>
      </c>
      <c r="Q25" s="88">
        <v>0.92817385221118964</v>
      </c>
      <c r="R25" s="88">
        <v>0.96138921487138684</v>
      </c>
      <c r="S25">
        <f t="shared" si="0"/>
        <v>0.89985515848757669</v>
      </c>
      <c r="T25">
        <f t="shared" si="1"/>
        <v>7.9280891623201732E-2</v>
      </c>
    </row>
    <row r="26" spans="9:20" x14ac:dyDescent="0.25">
      <c r="I26" s="54">
        <v>0.95267784346561202</v>
      </c>
      <c r="J26" s="54">
        <v>0.91191020822225266</v>
      </c>
      <c r="K26" s="54">
        <v>0.85784925802216705</v>
      </c>
      <c r="L26" s="54">
        <v>0.85552947915373145</v>
      </c>
      <c r="M26" s="54">
        <v>0.70197049900801134</v>
      </c>
      <c r="N26" s="88">
        <v>0.91742071029598404</v>
      </c>
      <c r="O26" s="88">
        <v>0.95438478848098174</v>
      </c>
      <c r="P26" s="88">
        <v>0.9544312507508228</v>
      </c>
      <c r="Q26" s="88">
        <v>0.92781223883352637</v>
      </c>
      <c r="R26" s="88">
        <v>0.96122653003601988</v>
      </c>
      <c r="S26">
        <f t="shared" si="0"/>
        <v>0.89952128062691106</v>
      </c>
      <c r="T26">
        <f t="shared" si="1"/>
        <v>7.9323996718998355E-2</v>
      </c>
    </row>
    <row r="27" spans="9:20" x14ac:dyDescent="0.25">
      <c r="I27" s="54">
        <v>0.95253950679791499</v>
      </c>
      <c r="J27" s="54">
        <v>0.9113002509192446</v>
      </c>
      <c r="K27" s="54">
        <v>0.85757132209737197</v>
      </c>
      <c r="L27" s="54">
        <v>0.85480724502418848</v>
      </c>
      <c r="M27" s="54">
        <v>0.70160489183891905</v>
      </c>
      <c r="N27" s="88">
        <v>0.91756118168302792</v>
      </c>
      <c r="O27" s="88">
        <v>0.95390662751987376</v>
      </c>
      <c r="P27" s="88">
        <v>0.95397550588313818</v>
      </c>
      <c r="Q27" s="88">
        <v>0.92743847497035159</v>
      </c>
      <c r="R27" s="88">
        <v>0.9610525411601103</v>
      </c>
      <c r="S27">
        <f t="shared" si="0"/>
        <v>0.89917575478941403</v>
      </c>
      <c r="T27">
        <f t="shared" si="1"/>
        <v>7.9367258793582154E-2</v>
      </c>
    </row>
    <row r="28" spans="9:20" x14ac:dyDescent="0.25">
      <c r="I28" s="54">
        <v>0.95238997846156392</v>
      </c>
      <c r="J28" s="54">
        <v>0.91067675019022121</v>
      </c>
      <c r="K28" s="54">
        <v>0.85728237268173502</v>
      </c>
      <c r="L28" s="54">
        <v>0.85407146870730744</v>
      </c>
      <c r="M28" s="54">
        <v>0.70122945552312821</v>
      </c>
      <c r="N28" s="88">
        <v>0.91769261150604475</v>
      </c>
      <c r="O28" s="88">
        <v>0.95341521316472921</v>
      </c>
      <c r="P28" s="88">
        <v>0.95350663812493608</v>
      </c>
      <c r="Q28" s="88">
        <v>0.92705236250404521</v>
      </c>
      <c r="R28" s="88">
        <v>0.96086704773606291</v>
      </c>
      <c r="S28">
        <f t="shared" si="0"/>
        <v>0.8988183898599772</v>
      </c>
      <c r="T28">
        <f t="shared" si="1"/>
        <v>7.9410674817376584E-2</v>
      </c>
    </row>
    <row r="29" spans="9:20" x14ac:dyDescent="0.25">
      <c r="I29" s="54">
        <v>0.95222905759560328</v>
      </c>
      <c r="J29" s="54">
        <v>0.9100395044728643</v>
      </c>
      <c r="K29" s="54">
        <v>0.85698222541157043</v>
      </c>
      <c r="L29" s="54">
        <v>0.85332195919477671</v>
      </c>
      <c r="M29" s="54">
        <v>0.70084403654841931</v>
      </c>
      <c r="N29" s="88">
        <v>0.91781481383624441</v>
      </c>
      <c r="O29" s="88">
        <v>0.95291033703371197</v>
      </c>
      <c r="P29" s="88">
        <v>0.95302443948548965</v>
      </c>
      <c r="Q29" s="88">
        <v>0.92665370054900009</v>
      </c>
      <c r="R29" s="88">
        <v>0.96066984626862861</v>
      </c>
      <c r="S29">
        <f t="shared" si="0"/>
        <v>0.8984489920396308</v>
      </c>
      <c r="T29">
        <f t="shared" si="1"/>
        <v>7.9454241612349694E-2</v>
      </c>
    </row>
    <row r="30" spans="9:20" x14ac:dyDescent="0.25">
      <c r="I30" s="54">
        <v>0.95205654032737985</v>
      </c>
      <c r="J30" s="54">
        <v>0.90938830961921824</v>
      </c>
      <c r="K30" s="54">
        <v>0.8566706932987479</v>
      </c>
      <c r="L30" s="54">
        <v>0.85255852316167435</v>
      </c>
      <c r="M30" s="54">
        <v>0.70044847934163634</v>
      </c>
      <c r="N30" s="88">
        <v>0.91792759970821391</v>
      </c>
      <c r="O30" s="88">
        <v>0.95239178793061952</v>
      </c>
      <c r="P30" s="88">
        <v>0.95252869914503435</v>
      </c>
      <c r="Q30" s="88">
        <v>0.92624228542568177</v>
      </c>
      <c r="R30" s="88">
        <v>0.96046073024271805</v>
      </c>
      <c r="S30">
        <f t="shared" si="0"/>
        <v>0.89806736482009253</v>
      </c>
      <c r="T30">
        <f t="shared" si="1"/>
        <v>7.9497955847538299E-2</v>
      </c>
    </row>
    <row r="31" spans="9:20" x14ac:dyDescent="0.25">
      <c r="I31" s="54">
        <v>0.95187221973996461</v>
      </c>
      <c r="J31" s="54">
        <v>0.90872295887693511</v>
      </c>
      <c r="K31" s="54">
        <v>0.85634758670523359</v>
      </c>
      <c r="L31" s="54">
        <v>0.85178096495295186</v>
      </c>
      <c r="M31" s="54">
        <v>0.70004262625148306</v>
      </c>
      <c r="N31" s="88">
        <v>0.91803077708179948</v>
      </c>
      <c r="O31" s="88">
        <v>0.95185935182098091</v>
      </c>
      <c r="P31" s="88">
        <v>0.95201920343029756</v>
      </c>
      <c r="Q31" s="88">
        <v>0.92581791063500729</v>
      </c>
      <c r="R31" s="88">
        <v>0.96023949009139342</v>
      </c>
      <c r="S31">
        <f t="shared" si="0"/>
        <v>0.89767330895860464</v>
      </c>
      <c r="T31">
        <f t="shared" si="1"/>
        <v>7.9541814034468153E-2</v>
      </c>
    </row>
    <row r="32" spans="9:20" x14ac:dyDescent="0.25">
      <c r="I32" s="54">
        <v>0.95167588583975105</v>
      </c>
      <c r="J32" s="54">
        <v>0.908043242871032</v>
      </c>
      <c r="K32" s="54">
        <v>0.85601271331795059</v>
      </c>
      <c r="L32" s="54">
        <v>0.85098908657052141</v>
      </c>
      <c r="M32" s="54">
        <v>0.69962631753161342</v>
      </c>
      <c r="N32" s="88">
        <v>0.91812415080398901</v>
      </c>
      <c r="O32" s="88">
        <v>0.95131281180857985</v>
      </c>
      <c r="P32" s="88">
        <v>0.9514957357903957</v>
      </c>
      <c r="Q32" s="88">
        <v>0.92538036683308245</v>
      </c>
      <c r="R32" s="88">
        <v>0.96000591316407358</v>
      </c>
      <c r="S32">
        <f t="shared" si="0"/>
        <v>0.89726662245309896</v>
      </c>
      <c r="T32">
        <f t="shared" si="1"/>
        <v>7.9585812522464425E-2</v>
      </c>
    </row>
    <row r="33" spans="2:20" x14ac:dyDescent="0.25">
      <c r="I33" s="54">
        <v>0.95146732552428948</v>
      </c>
      <c r="J33" s="54">
        <v>0.90734894958622048</v>
      </c>
      <c r="K33" s="54">
        <v>0.85566587812392358</v>
      </c>
      <c r="L33" s="54">
        <v>0.85018268766098148</v>
      </c>
      <c r="M33" s="54">
        <v>0.69919939132412667</v>
      </c>
      <c r="N33" s="88">
        <v>0.91820752257082283</v>
      </c>
      <c r="O33" s="88">
        <v>0.95075194811245889</v>
      </c>
      <c r="P33" s="88">
        <v>0.95095807677322941</v>
      </c>
      <c r="Q33" s="88">
        <v>0.92492944180631909</v>
      </c>
      <c r="R33" s="88">
        <v>0.95975978369499304</v>
      </c>
      <c r="S33">
        <f t="shared" si="0"/>
        <v>0.89684710051773653</v>
      </c>
      <c r="T33">
        <f t="shared" si="1"/>
        <v>7.9629947493842376E-2</v>
      </c>
    </row>
    <row r="34" spans="2:20" x14ac:dyDescent="0.25">
      <c r="I34" s="54">
        <v>0.95124632255036723</v>
      </c>
      <c r="J34" s="54">
        <v>0.90663986434979971</v>
      </c>
      <c r="K34" s="54">
        <v>0.85530688338575167</v>
      </c>
      <c r="L34" s="54">
        <v>0.84936156550396813</v>
      </c>
      <c r="M34" s="54">
        <v>0.69876168364338942</v>
      </c>
      <c r="N34" s="88">
        <v>0.91828069088931819</v>
      </c>
      <c r="O34" s="88">
        <v>0.9501765380444066</v>
      </c>
      <c r="P34" s="88">
        <v>0.950406004002321</v>
      </c>
      <c r="Q34" s="88">
        <v>0.92446492044697104</v>
      </c>
      <c r="R34" s="88">
        <v>0.95950088277193457</v>
      </c>
      <c r="S34">
        <f t="shared" si="0"/>
        <v>0.89641453555882278</v>
      </c>
      <c r="T34">
        <f t="shared" si="1"/>
        <v>7.967421495899428E-2</v>
      </c>
    </row>
    <row r="35" spans="2:20" x14ac:dyDescent="0.25">
      <c r="I35" s="54">
        <v>0.95101265750236696</v>
      </c>
      <c r="J35" s="54">
        <v>0.90591576981518818</v>
      </c>
      <c r="K35" s="54">
        <v>0.85493552861748867</v>
      </c>
      <c r="L35" s="54">
        <v>0.84852551500124473</v>
      </c>
      <c r="M35" s="54">
        <v>0.69831302836028941</v>
      </c>
      <c r="N35" s="88">
        <v>0.91834345103948667</v>
      </c>
      <c r="O35" s="88">
        <v>0.94958635598699004</v>
      </c>
      <c r="P35" s="88">
        <v>0.94983929215419349</v>
      </c>
      <c r="Q35" s="88">
        <v>0.92398658472913309</v>
      </c>
      <c r="R35" s="88">
        <v>0.95922898830526893</v>
      </c>
      <c r="S35">
        <f t="shared" si="0"/>
        <v>0.895968717151165</v>
      </c>
      <c r="T35">
        <f t="shared" si="1"/>
        <v>7.9718610751350366E-2</v>
      </c>
    </row>
    <row r="36" spans="2:20" x14ac:dyDescent="0.25">
      <c r="I36" s="54">
        <v>0.95076610776095716</v>
      </c>
      <c r="J36" s="54">
        <v>0.90517644594613877</v>
      </c>
      <c r="K36" s="54">
        <v>0.85455161056088447</v>
      </c>
      <c r="L36" s="54">
        <v>0.84767432866649728</v>
      </c>
      <c r="M36" s="54">
        <v>0.69785325718692692</v>
      </c>
      <c r="N36" s="88">
        <v>0.91839559503643609</v>
      </c>
      <c r="O36" s="88">
        <v>0.94898117337216925</v>
      </c>
      <c r="P36" s="88">
        <v>0.94925771293631145</v>
      </c>
      <c r="Q36" s="88">
        <v>0.923494213685224</v>
      </c>
      <c r="R36" s="88">
        <v>0.95894387499736289</v>
      </c>
      <c r="S36">
        <f t="shared" ref="S36:S67" si="2">AVERAGE(I36:R36)</f>
        <v>0.89550943201489075</v>
      </c>
      <c r="T36">
        <f t="shared" si="1"/>
        <v>7.9763130522228359E-2</v>
      </c>
    </row>
    <row r="37" spans="2:20" x14ac:dyDescent="0.25">
      <c r="I37" s="54">
        <v>0.95050644747213064</v>
      </c>
      <c r="J37" s="54">
        <v>0.9044216700016281</v>
      </c>
      <c r="K37" s="54">
        <v>0.85415492316210229</v>
      </c>
      <c r="L37" s="54">
        <v>0.84680779661594385</v>
      </c>
      <c r="M37" s="54">
        <v>0.69738219966176007</v>
      </c>
      <c r="N37" s="88">
        <v>0.91843691159260388</v>
      </c>
      <c r="O37" s="88">
        <v>0.94836075866052083</v>
      </c>
      <c r="P37" s="88">
        <v>0.94866103506561472</v>
      </c>
      <c r="Q37" s="88">
        <v>0.92298758338301401</v>
      </c>
      <c r="R37" s="88">
        <v>0.95864531431234412</v>
      </c>
      <c r="S37">
        <f t="shared" si="2"/>
        <v>0.89503646399276637</v>
      </c>
      <c r="T37">
        <f t="shared" si="1"/>
        <v>7.980776973555756E-2</v>
      </c>
    </row>
    <row r="38" spans="2:20" x14ac:dyDescent="0.25">
      <c r="B38" s="148" t="s">
        <v>33</v>
      </c>
      <c r="C38" s="148"/>
      <c r="D38" s="148"/>
      <c r="E38" s="148"/>
      <c r="F38" s="148"/>
      <c r="G38" s="148"/>
      <c r="I38" s="54">
        <v>0.95023344751662397</v>
      </c>
      <c r="J38" s="54">
        <v>0.90365121652153879</v>
      </c>
      <c r="K38" s="54">
        <v>0.85374525754889119</v>
      </c>
      <c r="L38" s="54">
        <v>0.84592570655972732</v>
      </c>
      <c r="M38" s="54">
        <v>0.69689968313525785</v>
      </c>
      <c r="N38" s="88">
        <v>0.91846718608015077</v>
      </c>
      <c r="O38" s="88">
        <v>0.94772487732113242</v>
      </c>
      <c r="P38" s="88">
        <v>0.94804902424770221</v>
      </c>
      <c r="Q38" s="88">
        <v>0.92246646690320855</v>
      </c>
      <c r="R38" s="88">
        <v>0.95833307444632232</v>
      </c>
      <c r="S38">
        <f t="shared" si="2"/>
        <v>0.89454959402805545</v>
      </c>
      <c r="T38">
        <f t="shared" si="1"/>
        <v>7.9852523662485145E-2</v>
      </c>
    </row>
    <row r="39" spans="2:20" x14ac:dyDescent="0.25">
      <c r="B39" s="148"/>
      <c r="C39" s="148"/>
      <c r="D39" s="148"/>
      <c r="E39" s="148"/>
      <c r="F39" s="148"/>
      <c r="G39" s="148"/>
      <c r="I39" s="54">
        <v>0.94994687547980328</v>
      </c>
      <c r="J39" s="54">
        <v>0.90286485731309529</v>
      </c>
      <c r="K39" s="54">
        <v>0.85332240200827025</v>
      </c>
      <c r="L39" s="54">
        <v>0.84502784379420703</v>
      </c>
      <c r="M39" s="54">
        <v>0.69640553275607486</v>
      </c>
      <c r="N39" s="88">
        <v>0.91848620049355234</v>
      </c>
      <c r="O39" s="88">
        <v>0.94707329181220057</v>
      </c>
      <c r="P39" s="88">
        <v>0.94742144315670906</v>
      </c>
      <c r="Q39" s="88">
        <v>0.92193063431765321</v>
      </c>
      <c r="R39" s="88">
        <v>0.95800692029804557</v>
      </c>
      <c r="S39">
        <f t="shared" si="2"/>
        <v>0.89404860014296117</v>
      </c>
      <c r="T39">
        <f t="shared" si="1"/>
        <v>7.9897387375859177E-2</v>
      </c>
    </row>
    <row r="40" spans="2:20" x14ac:dyDescent="0.25">
      <c r="I40" s="54">
        <v>0.94964649562198789</v>
      </c>
      <c r="J40" s="54">
        <v>0.90206236143818841</v>
      </c>
      <c r="K40" s="54">
        <v>0.85288614196478074</v>
      </c>
      <c r="L40" s="54">
        <v>0.84411399119514263</v>
      </c>
      <c r="M40" s="54">
        <v>0.69589957145780168</v>
      </c>
      <c r="N40" s="88">
        <v>0.91849373341241225</v>
      </c>
      <c r="O40" s="88">
        <v>0.94640576156237599</v>
      </c>
      <c r="P40" s="88">
        <v>0.9467780514158981</v>
      </c>
      <c r="Q40" s="88">
        <v>0.92137985266819811</v>
      </c>
      <c r="R40" s="88">
        <v>0.95766661344007897</v>
      </c>
      <c r="S40">
        <f t="shared" si="2"/>
        <v>0.89353325741768652</v>
      </c>
      <c r="T40">
        <f t="shared" si="1"/>
        <v>7.9942355744581042E-2</v>
      </c>
    </row>
    <row r="41" spans="2:20" x14ac:dyDescent="0.25">
      <c r="I41" s="54">
        <v>0.94933206884931687</v>
      </c>
      <c r="J41" s="54">
        <v>0.90124349520154845</v>
      </c>
      <c r="K41" s="54">
        <v>0.85243625995932637</v>
      </c>
      <c r="L41" s="54">
        <v>0.84318392921184981</v>
      </c>
      <c r="M41" s="54">
        <v>0.69538161994630421</v>
      </c>
      <c r="N41" s="88">
        <v>0.91848955996455717</v>
      </c>
      <c r="O41" s="88">
        <v>0.94572204295292572</v>
      </c>
      <c r="P41" s="88">
        <v>0.94611860557906691</v>
      </c>
      <c r="Q41" s="88">
        <v>0.92081388594626634</v>
      </c>
      <c r="R41" s="88">
        <v>0.95731191209054278</v>
      </c>
      <c r="S41">
        <f t="shared" si="2"/>
        <v>0.89300333797017051</v>
      </c>
      <c r="T41">
        <f t="shared" si="1"/>
        <v>7.9987423427839904E-2</v>
      </c>
    </row>
    <row r="42" spans="2:20" x14ac:dyDescent="0.25">
      <c r="I42" s="54">
        <v>0.949003352685162</v>
      </c>
      <c r="J42" s="54">
        <v>0.90040802213989113</v>
      </c>
      <c r="K42" s="54">
        <v>0.85197253562863196</v>
      </c>
      <c r="L42" s="54">
        <v>0.84223743586234345</v>
      </c>
      <c r="M42" s="54">
        <v>0.6948514966877124</v>
      </c>
      <c r="N42" s="88">
        <v>0.91847345178941087</v>
      </c>
      <c r="O42" s="88">
        <v>0.94502188930071962</v>
      </c>
      <c r="P42" s="88">
        <v>0.94544285911274839</v>
      </c>
      <c r="Q42" s="88">
        <v>0.9202324950731694</v>
      </c>
      <c r="R42" s="88">
        <v>0.95694257108542136</v>
      </c>
      <c r="S42">
        <f t="shared" si="2"/>
        <v>0.89245861093652112</v>
      </c>
      <c r="T42">
        <f t="shared" si="1"/>
        <v>8.0032584869208903E-2</v>
      </c>
    </row>
    <row r="43" spans="2:20" x14ac:dyDescent="0.25">
      <c r="I43" s="54">
        <v>0.94866010124215039</v>
      </c>
      <c r="J43" s="54">
        <v>0.89955570301203247</v>
      </c>
      <c r="K43" s="54">
        <v>0.8514947456854145</v>
      </c>
      <c r="L43" s="54">
        <v>0.84127428672955806</v>
      </c>
      <c r="M43" s="54">
        <v>0.69430901789707145</v>
      </c>
      <c r="N43" s="88">
        <v>0.91844517700174733</v>
      </c>
      <c r="O43" s="88">
        <v>0.94430505084214456</v>
      </c>
      <c r="P43" s="88">
        <v>0.94475056237932975</v>
      </c>
      <c r="Q43" s="88">
        <v>0.91963543788121549</v>
      </c>
      <c r="R43" s="88">
        <v>0.95655834185153454</v>
      </c>
      <c r="S43">
        <f t="shared" si="2"/>
        <v>0.89189884245221995</v>
      </c>
      <c r="T43">
        <f t="shared" si="1"/>
        <v>8.0077834290618322E-2</v>
      </c>
    </row>
    <row r="44" spans="2:20" x14ac:dyDescent="0.25">
      <c r="I44" s="54">
        <v>0.94830206519486127</v>
      </c>
      <c r="J44" s="54">
        <v>0.89868629579005832</v>
      </c>
      <c r="K44" s="54">
        <v>0.85100266389924983</v>
      </c>
      <c r="L44" s="54">
        <v>0.84029425495865628</v>
      </c>
      <c r="M44" s="54">
        <v>0.69375399752771438</v>
      </c>
      <c r="N44" s="88">
        <v>0.918404500155798</v>
      </c>
      <c r="O44" s="88">
        <v>0.94357127471795632</v>
      </c>
      <c r="P44" s="88">
        <v>0.94404146262107447</v>
      </c>
      <c r="Q44" s="88">
        <v>0.91902246909568142</v>
      </c>
      <c r="R44" s="88">
        <v>0.95615897238019887</v>
      </c>
      <c r="S44">
        <f t="shared" si="2"/>
        <v>0.89132379563412489</v>
      </c>
      <c r="T44">
        <f t="shared" si="1"/>
        <v>8.0123165686195208E-2</v>
      </c>
    </row>
    <row r="45" spans="2:20" x14ac:dyDescent="0.25">
      <c r="I45" s="54">
        <v>0.94792899175319634</v>
      </c>
      <c r="J45" s="54">
        <v>0.8977995556515953</v>
      </c>
      <c r="K45" s="54">
        <v>0.85049606107823661</v>
      </c>
      <c r="L45" s="54">
        <v>0.83929711125551332</v>
      </c>
      <c r="M45" s="54">
        <v>0.693186247261388</v>
      </c>
      <c r="N45" s="88">
        <v>0.91835118220981793</v>
      </c>
      <c r="O45" s="88">
        <v>0.94282030495914881</v>
      </c>
      <c r="P45" s="88">
        <v>0.94331530394516283</v>
      </c>
      <c r="Q45" s="88">
        <v>0.91839334031766795</v>
      </c>
      <c r="R45" s="88">
        <v>0.95574420720162145</v>
      </c>
      <c r="S45">
        <f t="shared" si="2"/>
        <v>0.89073323056333498</v>
      </c>
      <c r="T45">
        <f t="shared" si="1"/>
        <v>8.0168572815967232E-2</v>
      </c>
    </row>
    <row r="46" spans="2:20" x14ac:dyDescent="0.25">
      <c r="I46" s="54">
        <v>0.94754062463654098</v>
      </c>
      <c r="J46" s="54">
        <v>0.89689523497322587</v>
      </c>
      <c r="K46" s="54">
        <v>0.84997470505145745</v>
      </c>
      <c r="L46" s="54">
        <v>0.83828262388641184</v>
      </c>
      <c r="M46" s="54">
        <v>0.69260557649917764</v>
      </c>
      <c r="N46" s="88">
        <v>0.91828498049111906</v>
      </c>
      <c r="O46" s="88">
        <v>0.94205188247388438</v>
      </c>
      <c r="P46" s="88">
        <v>0.94257182730975275</v>
      </c>
      <c r="Q46" s="88">
        <v>0.91774780000792644</v>
      </c>
      <c r="R46" s="88">
        <v>0.95531378736011263</v>
      </c>
      <c r="S46">
        <f t="shared" si="2"/>
        <v>0.89012690426896113</v>
      </c>
      <c r="T46">
        <f t="shared" si="1"/>
        <v>8.0214049199435464E-2</v>
      </c>
    </row>
    <row r="47" spans="2:20" x14ac:dyDescent="0.25">
      <c r="I47" s="54">
        <v>0.94713670404871964</v>
      </c>
      <c r="J47" s="54">
        <v>0.89597308332513637</v>
      </c>
      <c r="K47" s="54">
        <v>0.84943836065235034</v>
      </c>
      <c r="L47" s="54">
        <v>0.83725055867900544</v>
      </c>
      <c r="M47" s="54">
        <v>0.69201179235327348</v>
      </c>
      <c r="N47" s="88">
        <v>0.91820564866161714</v>
      </c>
      <c r="O47" s="88">
        <v>0.94126574503556393</v>
      </c>
      <c r="P47" s="88">
        <v>0.94181077051117212</v>
      </c>
      <c r="Q47" s="88">
        <v>0.91708559347169316</v>
      </c>
      <c r="R47" s="88">
        <v>0.95486745039012699</v>
      </c>
      <c r="S47">
        <f t="shared" si="2"/>
        <v>0.88950457071286571</v>
      </c>
      <c r="T47">
        <f t="shared" si="1"/>
        <v>8.0259588109007907E-2</v>
      </c>
    </row>
    <row r="48" spans="2:20" x14ac:dyDescent="0.25">
      <c r="I48" s="54">
        <v>0.94671696665382743</v>
      </c>
      <c r="J48" s="54">
        <v>0.89503284746701184</v>
      </c>
      <c r="K48" s="54">
        <v>0.84888678970296261</v>
      </c>
      <c r="L48" s="54">
        <v>0.83620067902462036</v>
      </c>
      <c r="M48" s="54">
        <v>0.69140469963961759</v>
      </c>
      <c r="N48" s="88">
        <v>0.91811293668397165</v>
      </c>
      <c r="O48" s="88">
        <v>0.94046162727206151</v>
      </c>
      <c r="P48" s="88">
        <v>0.94103186817226359</v>
      </c>
      <c r="Q48" s="88">
        <v>0.91640646284458438</v>
      </c>
      <c r="R48" s="88">
        <v>0.95440493029322881</v>
      </c>
      <c r="S48">
        <f t="shared" si="2"/>
        <v>0.88886598077541501</v>
      </c>
      <c r="T48">
        <f t="shared" si="1"/>
        <v>8.0305182563298258E-2</v>
      </c>
    </row>
    <row r="49" spans="9:20" x14ac:dyDescent="0.25">
      <c r="I49" s="54">
        <v>0.94628114555298193</v>
      </c>
      <c r="J49" s="54">
        <v>0.8940742713452956</v>
      </c>
      <c r="K49" s="54">
        <v>0.84831975099922285</v>
      </c>
      <c r="L49" s="54">
        <v>0.83513274588193442</v>
      </c>
      <c r="M49" s="54">
        <v>0.69078410087148512</v>
      </c>
      <c r="N49" s="88">
        <v>0.91800659078835523</v>
      </c>
      <c r="O49" s="88">
        <v>0.93963926065623327</v>
      </c>
      <c r="P49" s="88">
        <v>0.94023485173195176</v>
      </c>
      <c r="Q49" s="88">
        <v>0.91571014707963638</v>
      </c>
      <c r="R49" s="88">
        <v>0.95392595751601994</v>
      </c>
      <c r="S49">
        <f t="shared" si="2"/>
        <v>0.88821088224231171</v>
      </c>
      <c r="T49">
        <f t="shared" si="1"/>
        <v>8.0350825320285715E-2</v>
      </c>
    </row>
    <row r="50" spans="9:20" x14ac:dyDescent="0.25">
      <c r="I50" s="54">
        <v>0.94582897026208534</v>
      </c>
      <c r="J50" s="54">
        <v>0.89309709609183285</v>
      </c>
      <c r="K50" s="54">
        <v>0.84773700029723276</v>
      </c>
      <c r="L50" s="54">
        <v>0.83404651778212979</v>
      </c>
      <c r="M50" s="54">
        <v>0.69014979625405715</v>
      </c>
      <c r="N50" s="88">
        <v>0.91788635343988079</v>
      </c>
      <c r="O50" s="88">
        <v>0.93879837349773287</v>
      </c>
      <c r="P50" s="88">
        <v>0.93941944943612921</v>
      </c>
      <c r="Q50" s="88">
        <v>0.91499638193552768</v>
      </c>
      <c r="R50" s="88">
        <v>0.9534302589291066</v>
      </c>
      <c r="S50">
        <f t="shared" si="2"/>
        <v>0.88753901979257144</v>
      </c>
      <c r="T50">
        <f t="shared" si="1"/>
        <v>8.0396508870333422E-2</v>
      </c>
    </row>
    <row r="51" spans="9:20" x14ac:dyDescent="0.25">
      <c r="I51" s="54">
        <v>0.9453601666906013</v>
      </c>
      <c r="J51" s="54">
        <v>0.89210106002398926</v>
      </c>
      <c r="K51" s="54">
        <v>0.8471382903006609</v>
      </c>
      <c r="L51" s="54">
        <v>0.83294175083554145</v>
      </c>
      <c r="M51" s="54">
        <v>0.68950158368001113</v>
      </c>
      <c r="N51" s="88">
        <v>0.91775196330680064</v>
      </c>
      <c r="O51" s="88">
        <v>0.93793869093620097</v>
      </c>
      <c r="P51" s="88">
        <v>0.93858538632987965</v>
      </c>
      <c r="Q51" s="88">
        <v>0.9142648999660673</v>
      </c>
      <c r="R51" s="88">
        <v>0.95291755780714893</v>
      </c>
      <c r="S51">
        <f t="shared" si="2"/>
        <v>0.88685013498769005</v>
      </c>
      <c r="T51">
        <f t="shared" si="1"/>
        <v>8.0442225429066441E-2</v>
      </c>
    </row>
    <row r="52" spans="9:20" x14ac:dyDescent="0.25">
      <c r="I52" s="54">
        <v>0.94487445712148399</v>
      </c>
      <c r="J52" s="54">
        <v>0.89108589864629517</v>
      </c>
      <c r="K52" s="54">
        <v>0.84652337064929306</v>
      </c>
      <c r="L52" s="54">
        <v>0.83181819873989937</v>
      </c>
      <c r="M52" s="54">
        <v>0.68883925872619389</v>
      </c>
      <c r="N52" s="88">
        <v>0.91760315522946989</v>
      </c>
      <c r="O52" s="88">
        <v>0.93705993493592254</v>
      </c>
      <c r="P52" s="88">
        <v>0.93773238425115124</v>
      </c>
      <c r="Q52" s="88">
        <v>0.91351543051099771</v>
      </c>
      <c r="R52" s="88">
        <v>0.95238757381008077</v>
      </c>
      <c r="S52">
        <f t="shared" si="2"/>
        <v>0.8861439662620787</v>
      </c>
      <c r="T52">
        <f t="shared" si="1"/>
        <v>8.0487966930111413E-2</v>
      </c>
    </row>
    <row r="53" spans="9:20" x14ac:dyDescent="0.25">
      <c r="I53" s="54">
        <v>0.94437156019226687</v>
      </c>
      <c r="J53" s="54">
        <v>0.89005134465370972</v>
      </c>
      <c r="K53" s="54">
        <v>0.84589198790880582</v>
      </c>
      <c r="L53" s="54">
        <v>0.83067561279021995</v>
      </c>
      <c r="M53" s="54">
        <v>0.68816261465144424</v>
      </c>
      <c r="N53" s="88">
        <v>0.91743966019018863</v>
      </c>
      <c r="O53" s="88">
        <v>0.93616182428199946</v>
      </c>
      <c r="P53" s="88">
        <v>0.93686016182591458</v>
      </c>
      <c r="Q53" s="88">
        <v>0.91274769968819947</v>
      </c>
      <c r="R53" s="88">
        <v>0.9518400229655577</v>
      </c>
      <c r="S53">
        <f t="shared" si="2"/>
        <v>0.88542024891483062</v>
      </c>
      <c r="T53">
        <f t="shared" si="1"/>
        <v>8.0533725017686589E-2</v>
      </c>
    </row>
    <row r="54" spans="9:20" x14ac:dyDescent="0.25">
      <c r="I54" s="54">
        <v>0.94385119087742209</v>
      </c>
      <c r="J54" s="54">
        <v>0.88899712793654817</v>
      </c>
      <c r="K54" s="54">
        <v>0.84524388556181818</v>
      </c>
      <c r="L54" s="54">
        <v>0.82951374189041116</v>
      </c>
      <c r="M54" s="54">
        <v>0.68747144239558844</v>
      </c>
      <c r="N54" s="88">
        <v>0.91726120528396105</v>
      </c>
      <c r="O54" s="88">
        <v>0.9352440745781343</v>
      </c>
      <c r="P54" s="88">
        <v>0.93596843446491707</v>
      </c>
      <c r="Q54" s="88">
        <v>0.91196143038734556</v>
      </c>
      <c r="R54" s="88">
        <v>0.95127461765269217</v>
      </c>
      <c r="S54">
        <f t="shared" si="2"/>
        <v>0.88467871510288387</v>
      </c>
      <c r="T54">
        <f t="shared" si="1"/>
        <v>8.0579491039055873E-2</v>
      </c>
    </row>
    <row r="55" spans="9:20" x14ac:dyDescent="0.25">
      <c r="I55" s="54">
        <v>0.94331306047202834</v>
      </c>
      <c r="J55" s="54">
        <v>0.88792297558718025</v>
      </c>
      <c r="K55" s="54">
        <v>0.84457880400030894</v>
      </c>
      <c r="L55" s="54">
        <v>0.8283323325666736</v>
      </c>
      <c r="M55" s="54">
        <v>0.6867655305796907</v>
      </c>
      <c r="N55" s="88">
        <v>0.91706751369023543</v>
      </c>
      <c r="O55" s="88">
        <v>0.93430639824606487</v>
      </c>
      <c r="P55" s="88">
        <v>0.93505691436207983</v>
      </c>
      <c r="Q55" s="88">
        <v>0.91115634226511799</v>
      </c>
      <c r="R55" s="88">
        <v>0.95069106658719316</v>
      </c>
      <c r="S55">
        <f t="shared" si="2"/>
        <v>0.88391909383565737</v>
      </c>
      <c r="T55">
        <f t="shared" si="1"/>
        <v>8.0625256036834611E-2</v>
      </c>
    </row>
    <row r="56" spans="9:20" x14ac:dyDescent="0.25">
      <c r="I56" s="54">
        <v>0.94275687657686502</v>
      </c>
      <c r="J56" s="54">
        <v>0.88682861190853324</v>
      </c>
      <c r="K56" s="54">
        <v>0.8438964805194421</v>
      </c>
      <c r="L56" s="54">
        <v>0.82713112898275654</v>
      </c>
      <c r="M56" s="54">
        <v>0.68604466550761367</v>
      </c>
      <c r="N56" s="88">
        <v>0.91685830464570639</v>
      </c>
      <c r="O56" s="88">
        <v>0.93334850452679108</v>
      </c>
      <c r="P56" s="88">
        <v>0.93412531049462322</v>
      </c>
      <c r="Q56" s="88">
        <v>0.9103321517420121</v>
      </c>
      <c r="R56" s="88">
        <v>0.9500890748079226</v>
      </c>
      <c r="S56">
        <f t="shared" si="2"/>
        <v>0.88314111097122672</v>
      </c>
      <c r="T56">
        <f t="shared" si="1"/>
        <v>8.0671010741151739E-2</v>
      </c>
    </row>
    <row r="57" spans="9:20" x14ac:dyDescent="0.25">
      <c r="I57" s="54">
        <v>0.94218234308495152</v>
      </c>
      <c r="J57" s="54">
        <v>0.88571375842453992</v>
      </c>
      <c r="K57" s="54">
        <v>0.84319664931289795</v>
      </c>
      <c r="L57" s="54">
        <v>0.82590987295717544</v>
      </c>
      <c r="M57" s="54">
        <v>0.68530863116892393</v>
      </c>
      <c r="N57" s="88">
        <v>0.91663329341823996</v>
      </c>
      <c r="O57" s="88">
        <v>0.93237009948359761</v>
      </c>
      <c r="P57" s="88">
        <v>0.93317332862501567</v>
      </c>
      <c r="Q57" s="88">
        <v>0.90948857200084787</v>
      </c>
      <c r="R57" s="88">
        <v>0.94946834366499655</v>
      </c>
      <c r="S57">
        <f t="shared" si="2"/>
        <v>0.88234448921411879</v>
      </c>
      <c r="T57">
        <f t="shared" si="1"/>
        <v>8.0716745561667122E-2</v>
      </c>
    </row>
    <row r="58" spans="9:20" x14ac:dyDescent="0.25">
      <c r="I58" s="54">
        <v>0.94158916016967698</v>
      </c>
      <c r="J58" s="54">
        <v>0.88457813389253448</v>
      </c>
      <c r="K58" s="54">
        <v>0.84247904146975416</v>
      </c>
      <c r="L58" s="54">
        <v>0.82466830398241486</v>
      </c>
      <c r="M58" s="54">
        <v>0.68455720924325558</v>
      </c>
      <c r="N58" s="88">
        <v>0.91639219128199523</v>
      </c>
      <c r="O58" s="88">
        <v>0.93137088600703077</v>
      </c>
      <c r="P58" s="88">
        <v>0.93220067130481621</v>
      </c>
      <c r="Q58" s="88">
        <v>0.90862531298704707</v>
      </c>
      <c r="R58" s="88">
        <v>0.94882857080949623</v>
      </c>
      <c r="S58">
        <f t="shared" si="2"/>
        <v>0.88152894811480209</v>
      </c>
      <c r="T58">
        <f t="shared" si="1"/>
        <v>8.0762450579442729E-2</v>
      </c>
    </row>
    <row r="59" spans="9:20" x14ac:dyDescent="0.25">
      <c r="I59" s="54">
        <v>0.94097702427455054</v>
      </c>
      <c r="J59" s="54">
        <v>0.88342145431775931</v>
      </c>
      <c r="K59" s="54">
        <v>0.84174338497303314</v>
      </c>
      <c r="L59" s="54">
        <v>0.8234061592462506</v>
      </c>
      <c r="M59" s="54">
        <v>0.68379017910612649</v>
      </c>
      <c r="N59" s="88">
        <v>0.91613470549383103</v>
      </c>
      <c r="O59" s="88">
        <v>0.93035056382185632</v>
      </c>
      <c r="P59" s="88">
        <v>0.93120703788049097</v>
      </c>
      <c r="Q59" s="88">
        <v>0.90774208141075829</v>
      </c>
      <c r="R59" s="88">
        <v>0.94816945018487009</v>
      </c>
      <c r="S59">
        <f t="shared" si="2"/>
        <v>0.88069420407095278</v>
      </c>
      <c r="T59">
        <f t="shared" si="1"/>
        <v>8.0808115538671801E-2</v>
      </c>
    </row>
    <row r="60" spans="9:20" x14ac:dyDescent="0.25">
      <c r="I60" s="54">
        <v>0.94034562810469258</v>
      </c>
      <c r="J60" s="54">
        <v>0.88224343297001129</v>
      </c>
      <c r="K60" s="54">
        <v>0.84098940469995687</v>
      </c>
      <c r="L60" s="54">
        <v>0.82212317365523924</v>
      </c>
      <c r="M60" s="54">
        <v>0.68300731783634105</v>
      </c>
      <c r="N60" s="88">
        <v>0.91586053927106015</v>
      </c>
      <c r="O60" s="88">
        <v>0.92930882949612659</v>
      </c>
      <c r="P60" s="88">
        <v>0.93019212450131217</v>
      </c>
      <c r="Q60" s="88">
        <v>0.90683858075094659</v>
      </c>
      <c r="R60" s="88">
        <v>0.94749067202011528</v>
      </c>
      <c r="S60">
        <f t="shared" si="2"/>
        <v>0.87983997033058015</v>
      </c>
      <c r="T60">
        <f t="shared" si="1"/>
        <v>8.0853729838259267E-2</v>
      </c>
    </row>
    <row r="61" spans="9:20" x14ac:dyDescent="0.25">
      <c r="I61" s="54">
        <v>0.93969466062012141</v>
      </c>
      <c r="J61" s="54">
        <v>0.88104378040254261</v>
      </c>
      <c r="K61" s="54">
        <v>0.84021682242399853</v>
      </c>
      <c r="L61" s="54">
        <v>0.82081907986047786</v>
      </c>
      <c r="M61" s="54">
        <v>0.68220840022500029</v>
      </c>
      <c r="N61" s="88">
        <v>0.91556939177064134</v>
      </c>
      <c r="O61" s="88">
        <v>0.92824537645242722</v>
      </c>
      <c r="P61" s="88">
        <v>0.92915562412941544</v>
      </c>
      <c r="Q61" s="88">
        <v>0.90591451126147626</v>
      </c>
      <c r="R61" s="88">
        <v>0.94679192282482716</v>
      </c>
      <c r="S61">
        <f t="shared" si="2"/>
        <v>0.87896595699709279</v>
      </c>
      <c r="T61">
        <f t="shared" si="1"/>
        <v>8.089928252325744E-2</v>
      </c>
    </row>
    <row r="62" spans="9:20" x14ac:dyDescent="0.25">
      <c r="I62" s="54">
        <v>0.93902380703096566</v>
      </c>
      <c r="J62" s="54">
        <v>0.8798222044732914</v>
      </c>
      <c r="K62" s="54">
        <v>0.83942535681883124</v>
      </c>
      <c r="L62" s="54">
        <v>0.81949360828569584</v>
      </c>
      <c r="M62" s="54">
        <v>0.68139319878619786</v>
      </c>
      <c r="N62" s="88">
        <v>0.91526095806988239</v>
      </c>
      <c r="O62" s="88">
        <v>0.92715989498140516</v>
      </c>
      <c r="P62" s="88">
        <v>0.9280972265521078</v>
      </c>
      <c r="Q62" s="88">
        <v>0.90496956997933808</v>
      </c>
      <c r="R62" s="88">
        <v>0.94607288538620848</v>
      </c>
      <c r="S62">
        <f t="shared" si="2"/>
        <v>0.87807187103639239</v>
      </c>
      <c r="T62">
        <f t="shared" si="1"/>
        <v>8.0944762276160834E-2</v>
      </c>
    </row>
    <row r="63" spans="9:20" x14ac:dyDescent="0.25">
      <c r="I63" s="54">
        <v>0.93833274879466988</v>
      </c>
      <c r="J63" s="54">
        <v>0.87857841036856466</v>
      </c>
      <c r="K63" s="54">
        <v>0.83861472346425237</v>
      </c>
      <c r="L63" s="54">
        <v>0.81814648715779681</v>
      </c>
      <c r="M63" s="54">
        <v>0.68056148376950409</v>
      </c>
      <c r="N63" s="88">
        <v>0.91493492914878483</v>
      </c>
      <c r="O63" s="88">
        <v>0.92605207225766994</v>
      </c>
      <c r="P63" s="88">
        <v>0.92701661839654348</v>
      </c>
      <c r="Q63" s="88">
        <v>0.90400345073509569</v>
      </c>
      <c r="R63" s="88">
        <v>0.94533323876815079</v>
      </c>
      <c r="S63">
        <f t="shared" si="2"/>
        <v>0.87715741628610322</v>
      </c>
      <c r="T63">
        <f t="shared" si="1"/>
        <v>8.099015740805289E-2</v>
      </c>
    </row>
    <row r="64" spans="9:20" x14ac:dyDescent="0.25">
      <c r="I64" s="54">
        <v>0.9376211636152858</v>
      </c>
      <c r="J64" s="54">
        <v>0.87731210062921727</v>
      </c>
      <c r="K64" s="54">
        <v>0.83778463485414556</v>
      </c>
      <c r="L64" s="54">
        <v>0.81677744253990381</v>
      </c>
      <c r="M64" s="54">
        <v>0.67971302317424387</v>
      </c>
      <c r="N64" s="88">
        <v>0.91459099187403825</v>
      </c>
      <c r="O64" s="88">
        <v>0.92492159235818039</v>
      </c>
      <c r="P64" s="88">
        <v>0.92591348314682065</v>
      </c>
      <c r="Q64" s="88">
        <v>0.90301584416559211</v>
      </c>
      <c r="R64" s="88">
        <v>0.94457265831243697</v>
      </c>
      <c r="S64">
        <f t="shared" si="2"/>
        <v>0.87622229346698666</v>
      </c>
      <c r="T64">
        <f t="shared" si="1"/>
        <v>8.1035455849613872E-2</v>
      </c>
    </row>
    <row r="65" spans="9:20" x14ac:dyDescent="0.25">
      <c r="I65" s="54">
        <v>0.93688872544497581</v>
      </c>
      <c r="J65" s="54">
        <v>0.8760229751794878</v>
      </c>
      <c r="K65" s="54">
        <v>0.83693480040661805</v>
      </c>
      <c r="L65" s="54">
        <v>0.81538619836704795</v>
      </c>
      <c r="M65" s="54">
        <v>0.67884758276573642</v>
      </c>
      <c r="N65" s="88">
        <v>0.91422882898485602</v>
      </c>
      <c r="O65" s="88">
        <v>0.92376813628319376</v>
      </c>
      <c r="P65" s="88">
        <v>0.92478750116367126</v>
      </c>
      <c r="Q65" s="88">
        <v>0.90200643772913225</v>
      </c>
      <c r="R65" s="88">
        <v>0.94379081564223333</v>
      </c>
      <c r="S65">
        <f t="shared" si="2"/>
        <v>0.87526620019669532</v>
      </c>
      <c r="T65">
        <f t="shared" si="1"/>
        <v>8.108064514198117E-2</v>
      </c>
    </row>
    <row r="66" spans="9:20" x14ac:dyDescent="0.25">
      <c r="I66" s="54">
        <v>0.93613510448779635</v>
      </c>
      <c r="J66" s="54">
        <v>0.8747107313585305</v>
      </c>
      <c r="K66" s="54">
        <v>0.83606492647636177</v>
      </c>
      <c r="L66" s="54">
        <v>0.81397247648454163</v>
      </c>
      <c r="M66" s="54">
        <v>0.67796492609346648</v>
      </c>
      <c r="N66" s="88">
        <v>0.91384811908065522</v>
      </c>
      <c r="O66" s="88">
        <v>0.92259138197990109</v>
      </c>
      <c r="P66" s="88">
        <v>0.92363834970677261</v>
      </c>
      <c r="Q66" s="88">
        <v>0.90097491572310628</v>
      </c>
      <c r="R66" s="88">
        <v>0.94298737866791871</v>
      </c>
      <c r="S66">
        <f t="shared" si="2"/>
        <v>0.87428883100590493</v>
      </c>
      <c r="T66">
        <f t="shared" si="1"/>
        <v>8.1125712427476487E-2</v>
      </c>
    </row>
    <row r="67" spans="9:20" x14ac:dyDescent="0.25">
      <c r="I67" s="54">
        <v>0.9353599672058982</v>
      </c>
      <c r="J67" s="54">
        <v>0.87337506395478937</v>
      </c>
      <c r="K67" s="54">
        <v>0.83517471636936813</v>
      </c>
      <c r="L67" s="54">
        <v>0.81253599668915921</v>
      </c>
      <c r="M67" s="54">
        <v>0.67706481451136968</v>
      </c>
      <c r="N67" s="88">
        <v>0.91344853661077041</v>
      </c>
      <c r="O67" s="88">
        <v>0.92139100436886034</v>
      </c>
      <c r="P67" s="88">
        <v>0.92246570295983787</v>
      </c>
      <c r="Q67" s="88">
        <v>0.89992095930427152</v>
      </c>
      <c r="R67" s="88">
        <v>0.94216201159538115</v>
      </c>
      <c r="S67">
        <f t="shared" si="2"/>
        <v>0.87328987735697061</v>
      </c>
      <c r="T67">
        <f t="shared" si="1"/>
        <v>8.1170644440187317E-2</v>
      </c>
    </row>
    <row r="68" spans="9:20" x14ac:dyDescent="0.25">
      <c r="I68" s="54">
        <v>0.93456297632824126</v>
      </c>
      <c r="J68" s="54">
        <v>0.87201566524329699</v>
      </c>
      <c r="K68" s="54">
        <v>0.83426387036006266</v>
      </c>
      <c r="L68" s="54">
        <v>0.81107647677324901</v>
      </c>
      <c r="M68" s="54">
        <v>0.67614700720022847</v>
      </c>
      <c r="N68" s="88">
        <v>0.91302975186621038</v>
      </c>
      <c r="O68" s="88">
        <v>0.92016667537329855</v>
      </c>
      <c r="P68" s="88">
        <v>0.92126923205858346</v>
      </c>
      <c r="Q68" s="88">
        <v>0.89884424651172146</v>
      </c>
      <c r="R68" s="88">
        <v>0.94131437493689607</v>
      </c>
      <c r="S68">
        <f t="shared" ref="S68:S99" si="3">AVERAGE(I68:R68)</f>
        <v>0.87226902766517878</v>
      </c>
      <c r="T68">
        <f t="shared" si="1"/>
        <v>8.1215427496414569E-2</v>
      </c>
    </row>
    <row r="69" spans="9:20" x14ac:dyDescent="0.25">
      <c r="I69" s="54">
        <v>0.93374379086190984</v>
      </c>
      <c r="J69" s="54">
        <v>0.87063222502601689</v>
      </c>
      <c r="K69" s="54">
        <v>0.83333208571099426</v>
      </c>
      <c r="L69" s="54">
        <v>0.80959363257180084</v>
      </c>
      <c r="M69" s="54">
        <v>0.67521126119231878</v>
      </c>
      <c r="N69" s="88">
        <v>0.91259143097365913</v>
      </c>
      <c r="O69" s="88">
        <v>0.9189180639514668</v>
      </c>
      <c r="P69" s="88">
        <v>0.92004860512166953</v>
      </c>
      <c r="Q69" s="88">
        <v>0.89774445229269761</v>
      </c>
      <c r="R69" s="88">
        <v>0.94044412552468226</v>
      </c>
      <c r="S69">
        <f t="shared" si="3"/>
        <v>0.87122596732272162</v>
      </c>
      <c r="T69">
        <f t="shared" ref="T69:T103" si="4">STDEV(I69:R69)</f>
        <v>8.1260047484984665E-2</v>
      </c>
    </row>
    <row r="70" spans="9:20" x14ac:dyDescent="0.25">
      <c r="I70" s="54">
        <v>0.93290206610619275</v>
      </c>
      <c r="J70" s="54">
        <v>0.86922443067531474</v>
      </c>
      <c r="K70" s="54">
        <v>0.83237905669515555</v>
      </c>
      <c r="L70" s="54">
        <v>0.80808717801265728</v>
      </c>
      <c r="M70" s="54">
        <v>0.67425733139835831</v>
      </c>
      <c r="N70" s="88">
        <v>0.91213323589173945</v>
      </c>
      <c r="O70" s="88">
        <v>0.91764483613207459</v>
      </c>
      <c r="P70" s="88">
        <v>0.91880348728474537</v>
      </c>
      <c r="Q70" s="88">
        <v>0.89662124853133118</v>
      </c>
      <c r="R70" s="88">
        <v>0.93955091652726008</v>
      </c>
      <c r="S70">
        <f t="shared" si="3"/>
        <v>0.87016037872548302</v>
      </c>
      <c r="T70">
        <f t="shared" si="4"/>
        <v>8.1304489857425943E-2</v>
      </c>
    </row>
    <row r="71" spans="9:20" x14ac:dyDescent="0.25">
      <c r="I71" s="54">
        <v>0.93203745366950674</v>
      </c>
      <c r="J71" s="54">
        <v>0.86779196718071883</v>
      </c>
      <c r="K71" s="54">
        <v>0.83140447462105316</v>
      </c>
      <c r="L71" s="54">
        <v>0.80655682516991389</v>
      </c>
      <c r="M71" s="54">
        <v>0.67328497063685555</v>
      </c>
      <c r="N71" s="88">
        <v>0.91165482440973822</v>
      </c>
      <c r="O71" s="88">
        <v>0.91634665505299784</v>
      </c>
      <c r="P71" s="88">
        <v>0.91753354073772109</v>
      </c>
      <c r="Q71" s="88">
        <v>0.89547430408044004</v>
      </c>
      <c r="R71" s="88">
        <v>0.93863439746875021</v>
      </c>
      <c r="S71">
        <f t="shared" si="3"/>
        <v>0.86907194130276955</v>
      </c>
      <c r="T71">
        <f t="shared" si="4"/>
        <v>8.1348739618021637E-2</v>
      </c>
    </row>
    <row r="72" spans="9:20" x14ac:dyDescent="0.25">
      <c r="I72" s="54">
        <v>0.9311496014892906</v>
      </c>
      <c r="J72" s="54">
        <v>0.8663345171990291</v>
      </c>
      <c r="K72" s="54">
        <v>0.83040802786063395</v>
      </c>
      <c r="L72" s="54">
        <v>0.80500228432064291</v>
      </c>
      <c r="M72" s="54">
        <v>0.6722939296659497</v>
      </c>
      <c r="N72" s="88">
        <v>0.9111558501488255</v>
      </c>
      <c r="O72" s="88">
        <v>0.91502318100332558</v>
      </c>
      <c r="P72" s="88">
        <v>0.9162384247653621</v>
      </c>
      <c r="Q72" s="88">
        <v>0.89430328479649202</v>
      </c>
      <c r="R72" s="88">
        <v>0.93769421425118138</v>
      </c>
      <c r="S72">
        <f t="shared" si="3"/>
        <v>0.86796033155007335</v>
      </c>
      <c r="T72">
        <f t="shared" si="4"/>
        <v>8.139278131372546E-2</v>
      </c>
    </row>
    <row r="73" spans="9:20" x14ac:dyDescent="0.25">
      <c r="I73" s="54">
        <v>0.93023815385500519</v>
      </c>
      <c r="J73" s="54">
        <v>0.86485176110791451</v>
      </c>
      <c r="K73" s="54">
        <v>0.8293894018801673</v>
      </c>
      <c r="L73" s="54">
        <v>0.80342326400502906</v>
      </c>
      <c r="M73" s="54">
        <v>0.67128395721782164</v>
      </c>
      <c r="N73" s="88">
        <v>0.91063596256596546</v>
      </c>
      <c r="O73" s="88">
        <v>0.91367407146891411</v>
      </c>
      <c r="P73" s="88">
        <v>0.91491779579135502</v>
      </c>
      <c r="Q73" s="88">
        <v>0.89310785357786304</v>
      </c>
      <c r="R73" s="88">
        <v>0.93673000917999127</v>
      </c>
      <c r="S73">
        <f t="shared" si="3"/>
        <v>0.86682522306500265</v>
      </c>
      <c r="T73">
        <f t="shared" si="4"/>
        <v>8.1436599023963566E-2</v>
      </c>
    </row>
    <row r="74" spans="9:20" x14ac:dyDescent="0.25">
      <c r="I74" s="54">
        <v>0.92930275143437002</v>
      </c>
      <c r="J74" s="54">
        <v>0.86334337706312669</v>
      </c>
      <c r="K74" s="54">
        <v>0.82834827927422805</v>
      </c>
      <c r="L74" s="54">
        <v>0.80181947109004104</v>
      </c>
      <c r="M74" s="54">
        <v>0.67025480003578286</v>
      </c>
      <c r="N74" s="88">
        <v>0.91009480696056444</v>
      </c>
      <c r="O74" s="88">
        <v>0.91229898118153296</v>
      </c>
      <c r="P74" s="88">
        <v>0.91357130742595205</v>
      </c>
      <c r="Q74" s="88">
        <v>0.89188767040649541</v>
      </c>
      <c r="R74" s="88">
        <v>0.93574142099282065</v>
      </c>
      <c r="S74">
        <f t="shared" si="3"/>
        <v>0.86566628658649147</v>
      </c>
      <c r="T74">
        <f t="shared" si="4"/>
        <v>8.1480176350308783E-2</v>
      </c>
    </row>
    <row r="75" spans="9:20" x14ac:dyDescent="0.25">
      <c r="I75" s="54">
        <v>0.92834303130292761</v>
      </c>
      <c r="J75" s="54">
        <v>0.86180904105944889</v>
      </c>
      <c r="K75" s="54">
        <v>0.82728433980285565</v>
      </c>
      <c r="L75" s="54">
        <v>0.80019061083675413</v>
      </c>
      <c r="M75" s="54">
        <v>0.66920620291412347</v>
      </c>
      <c r="N75" s="88">
        <v>0.90953202448406012</v>
      </c>
      <c r="O75" s="88">
        <v>0.91089756217174445</v>
      </c>
      <c r="P75" s="88">
        <v>0.91219861051733719</v>
      </c>
      <c r="Q75" s="88">
        <v>0.89064239239311149</v>
      </c>
      <c r="R75" s="88">
        <v>0.93472808489171821</v>
      </c>
      <c r="S75">
        <f t="shared" si="3"/>
        <v>0.86448319003740814</v>
      </c>
      <c r="T75">
        <f t="shared" si="4"/>
        <v>8.1523496406038842E-2</v>
      </c>
    </row>
    <row r="76" spans="9:20" x14ac:dyDescent="0.25">
      <c r="I76" s="54">
        <v>0.92735862697712867</v>
      </c>
      <c r="J76" s="54">
        <v>0.86024842699547333</v>
      </c>
      <c r="K76" s="54">
        <v>0.82619726043203856</v>
      </c>
      <c r="L76" s="54">
        <v>0.79853638697140572</v>
      </c>
      <c r="M76" s="54">
        <v>0.66813790874081491</v>
      </c>
      <c r="N76" s="88">
        <v>0.90894725215251737</v>
      </c>
      <c r="O76" s="88">
        <v>0.9094694638256744</v>
      </c>
      <c r="P76" s="88">
        <v>0.91079935320683125</v>
      </c>
      <c r="Q76" s="88">
        <v>0.8893716738260653</v>
      </c>
      <c r="R76" s="88">
        <v>0.93368963257892357</v>
      </c>
      <c r="S76">
        <f t="shared" si="3"/>
        <v>0.86327559857068736</v>
      </c>
      <c r="T76">
        <f t="shared" si="4"/>
        <v>8.1566541805588255E-2</v>
      </c>
    </row>
    <row r="77" spans="9:20" x14ac:dyDescent="0.25">
      <c r="I77" s="54">
        <v>0.92634916845102844</v>
      </c>
      <c r="J77" s="54">
        <v>0.85866120674236168</v>
      </c>
      <c r="K77" s="54">
        <v>0.82508671537763001</v>
      </c>
      <c r="L77" s="54">
        <v>0.79685650176033929</v>
      </c>
      <c r="M77" s="54">
        <v>0.66704965854317844</v>
      </c>
      <c r="N77" s="88">
        <v>0.90834012286238586</v>
      </c>
      <c r="O77" s="88">
        <v>0.90801433294575895</v>
      </c>
      <c r="P77" s="88">
        <v>0.90937318098806963</v>
      </c>
      <c r="Q77" s="88">
        <v>0.88807516622401117</v>
      </c>
      <c r="R77" s="88">
        <v>0.93262569229633541</v>
      </c>
      <c r="S77">
        <f t="shared" si="3"/>
        <v>0.86204317461910984</v>
      </c>
      <c r="T77">
        <f t="shared" si="4"/>
        <v>8.1609294653885181E-2</v>
      </c>
    </row>
    <row r="78" spans="9:20" x14ac:dyDescent="0.25">
      <c r="I78" s="54">
        <v>0.92531428223674528</v>
      </c>
      <c r="J78" s="54">
        <v>0.85704705021672101</v>
      </c>
      <c r="K78" s="54">
        <v>0.82395237615281991</v>
      </c>
      <c r="L78" s="54">
        <v>0.79515065608893998</v>
      </c>
      <c r="M78" s="54">
        <v>0.66594119153659737</v>
      </c>
      <c r="N78" s="88">
        <v>0.90771026540958755</v>
      </c>
      <c r="O78" s="88">
        <v>0.90653181381564019</v>
      </c>
      <c r="P78" s="88">
        <v>0.90791973677031246</v>
      </c>
      <c r="Q78" s="88">
        <v>0.88675251839249103</v>
      </c>
      <c r="R78" s="88">
        <v>0.93153588886882444</v>
      </c>
      <c r="S78">
        <f t="shared" si="3"/>
        <v>0.8607855779488679</v>
      </c>
      <c r="T78">
        <f t="shared" si="4"/>
        <v>8.1651736535592795E-2</v>
      </c>
    </row>
    <row r="79" spans="9:20" x14ac:dyDescent="0.25">
      <c r="I79" s="54">
        <v>0.92425359140883412</v>
      </c>
      <c r="J79" s="54">
        <v>0.85540562545768861</v>
      </c>
      <c r="K79" s="54">
        <v>0.82279391161930482</v>
      </c>
      <c r="L79" s="54">
        <v>0.79341854954464219</v>
      </c>
      <c r="M79" s="54">
        <v>0.66481224517640636</v>
      </c>
      <c r="N79" s="88">
        <v>0.90705730451200739</v>
      </c>
      <c r="O79" s="88">
        <v>0.9050215482693319</v>
      </c>
      <c r="P79" s="88">
        <v>0.90643866094597125</v>
      </c>
      <c r="Q79" s="88">
        <v>0.88540337648458167</v>
      </c>
      <c r="R79" s="88">
        <v>0.93041984375152376</v>
      </c>
      <c r="S79">
        <f t="shared" si="3"/>
        <v>0.85950246571702915</v>
      </c>
      <c r="T79">
        <f t="shared" si="4"/>
        <v>8.1693848504246269E-2</v>
      </c>
    </row>
    <row r="80" spans="9:20" x14ac:dyDescent="0.25">
      <c r="I80" s="54">
        <v>0.92316671565270159</v>
      </c>
      <c r="J80" s="54">
        <v>0.85373659870839358</v>
      </c>
      <c r="K80" s="54">
        <v>0.82161098804225563</v>
      </c>
      <c r="L80" s="54">
        <v>0.79165988050419744</v>
      </c>
      <c r="M80" s="54">
        <v>0.66366255521301265</v>
      </c>
      <c r="N80" s="88">
        <v>0.90638086083559</v>
      </c>
      <c r="O80" s="88">
        <v>0.90348317576479675</v>
      </c>
      <c r="P80" s="88">
        <v>0.90492959146257212</v>
      </c>
      <c r="Q80" s="88">
        <v>0.884027384065738</v>
      </c>
      <c r="R80" s="88">
        <v>0.9292771750812463</v>
      </c>
      <c r="S80">
        <f t="shared" si="3"/>
        <v>0.85819349253305044</v>
      </c>
      <c r="T80">
        <f t="shared" si="4"/>
        <v>8.1735611071306918E-2</v>
      </c>
    </row>
    <row r="81" spans="9:20" x14ac:dyDescent="0.25">
      <c r="I81" s="54">
        <v>0.92205327131723225</v>
      </c>
      <c r="J81" s="54">
        <v>0.85203963450190723</v>
      </c>
      <c r="K81" s="54">
        <v>0.82040326914924566</v>
      </c>
      <c r="L81" s="54">
        <v>0.78987434622525621</v>
      </c>
      <c r="M81" s="54">
        <v>0.66249185575040326</v>
      </c>
      <c r="N81" s="88">
        <v>0.90568055102415523</v>
      </c>
      <c r="O81" s="88">
        <v>0.90191633346207833</v>
      </c>
      <c r="P81" s="88">
        <v>0.90339216389922017</v>
      </c>
      <c r="Q81" s="88">
        <v>0.88262418218299588</v>
      </c>
      <c r="R81" s="88">
        <v>0.92810749773217061</v>
      </c>
      <c r="S81">
        <f t="shared" si="3"/>
        <v>0.85685831052446648</v>
      </c>
      <c r="T81">
        <f t="shared" si="4"/>
        <v>8.1777004195125874E-2</v>
      </c>
    </row>
    <row r="82" spans="9:20" x14ac:dyDescent="0.25">
      <c r="I82" s="54">
        <v>0.92091287147176248</v>
      </c>
      <c r="J82" s="54">
        <v>0.85031439575180645</v>
      </c>
      <c r="K82" s="54">
        <v>0.81917041619323216</v>
      </c>
      <c r="L82" s="54">
        <v>0.78806164294243475</v>
      </c>
      <c r="M82" s="54">
        <v>0.6612998793081134</v>
      </c>
      <c r="N82" s="88">
        <v>0.90495598773310137</v>
      </c>
      <c r="O82" s="88">
        <v>0.90032065630613323</v>
      </c>
      <c r="P82" s="88">
        <v>0.90182601154773334</v>
      </c>
      <c r="Q82" s="88">
        <v>0.88119340943862656</v>
      </c>
      <c r="R82" s="88">
        <v>0.92691042337597018</v>
      </c>
      <c r="S82">
        <f t="shared" si="3"/>
        <v>0.85549656940689134</v>
      </c>
      <c r="T82">
        <f t="shared" si="4"/>
        <v>8.181800726983203E-2</v>
      </c>
    </row>
    <row r="83" spans="9:20" x14ac:dyDescent="0.25">
      <c r="I83" s="54">
        <v>0.91974512596755686</v>
      </c>
      <c r="J83" s="54">
        <v>0.84856054384753132</v>
      </c>
      <c r="K83" s="54">
        <v>0.81791208801978132</v>
      </c>
      <c r="L83" s="54">
        <v>0.78622146596795406</v>
      </c>
      <c r="M83" s="54">
        <v>0.66008635688676831</v>
      </c>
      <c r="N83" s="88">
        <v>0.90420677966714058</v>
      </c>
      <c r="O83" s="88">
        <v>0.89869577711451698</v>
      </c>
      <c r="P83" s="88">
        <v>0.90023076549864611</v>
      </c>
      <c r="Q83" s="88">
        <v>0.87973470206844528</v>
      </c>
      <c r="R83" s="88">
        <v>0.92568556054650519</v>
      </c>
      <c r="S83">
        <f t="shared" si="3"/>
        <v>0.85410791655848473</v>
      </c>
      <c r="T83">
        <f t="shared" si="4"/>
        <v>8.1858599114152733E-2</v>
      </c>
    </row>
    <row r="84" spans="9:20" x14ac:dyDescent="0.25">
      <c r="I84" s="54">
        <v>0.91854964150394347</v>
      </c>
      <c r="J84" s="54">
        <v>0.84677773875460249</v>
      </c>
      <c r="K84" s="54">
        <v>0.81662794113861914</v>
      </c>
      <c r="L84" s="54">
        <v>0.7843535097970038</v>
      </c>
      <c r="M84" s="54">
        <v>0.6588510180373095</v>
      </c>
      <c r="N84" s="88">
        <v>0.90343253162219905</v>
      </c>
      <c r="O84" s="88">
        <v>0.89704132667004555</v>
      </c>
      <c r="P84" s="88">
        <v>0.89860605473214616</v>
      </c>
      <c r="Q84" s="88">
        <v>0.87824769402487557</v>
      </c>
      <c r="R84" s="88">
        <v>0.92443251470926968</v>
      </c>
      <c r="S84">
        <f t="shared" si="3"/>
        <v>0.85269199709900145</v>
      </c>
      <c r="T84">
        <f t="shared" si="4"/>
        <v>8.1898757960167726E-2</v>
      </c>
    </row>
    <row r="85" spans="9:20" x14ac:dyDescent="0.25">
      <c r="I85" s="54">
        <v>0.91732602169927469</v>
      </c>
      <c r="J85" s="54">
        <v>0.84496563911991496</v>
      </c>
      <c r="K85" s="54">
        <v>0.81531762979967826</v>
      </c>
      <c r="L85" s="54">
        <v>0.78245746821791862</v>
      </c>
      <c r="M85" s="54">
        <v>0.65759359093403269</v>
      </c>
      <c r="N85" s="88">
        <v>0.90263284453170867</v>
      </c>
      <c r="O85" s="88">
        <v>0.89535693381860837</v>
      </c>
      <c r="P85" s="88">
        <v>0.89695150621414632</v>
      </c>
      <c r="Q85" s="88">
        <v>0.87673201706493986</v>
      </c>
      <c r="R85" s="88">
        <v>0.92315088833571379</v>
      </c>
      <c r="S85">
        <f t="shared" si="3"/>
        <v>0.85124845397359383</v>
      </c>
      <c r="T85">
        <f t="shared" si="4"/>
        <v>8.1938461442008934E-2</v>
      </c>
    </row>
    <row r="86" spans="9:20" x14ac:dyDescent="0.25">
      <c r="I86" s="54">
        <v>0.91607386716687467</v>
      </c>
      <c r="J86" s="54">
        <v>0.84312390238217294</v>
      </c>
      <c r="K86" s="54">
        <v>0.81398080607377687</v>
      </c>
      <c r="L86" s="54">
        <v>0.78053303442734534</v>
      </c>
      <c r="M86" s="54">
        <v>0.65631380245149784</v>
      </c>
      <c r="N86" s="88">
        <v>0.90180731551736248</v>
      </c>
      <c r="O86" s="88">
        <v>0.89364222557229145</v>
      </c>
      <c r="P86" s="88">
        <v>0.8952667449976438</v>
      </c>
      <c r="Q86" s="88">
        <v>0.87518730084331842</v>
      </c>
      <c r="R86" s="88">
        <v>0.92184028098265802</v>
      </c>
      <c r="S86">
        <f t="shared" si="3"/>
        <v>0.84977692804149429</v>
      </c>
      <c r="T86">
        <f t="shared" si="4"/>
        <v>8.1977686584523132E-2</v>
      </c>
    </row>
    <row r="87" spans="9:20" x14ac:dyDescent="0.25">
      <c r="I87" s="54">
        <v>0.91479277559611816</v>
      </c>
      <c r="J87" s="54">
        <v>0.84125218488767395</v>
      </c>
      <c r="K87" s="54">
        <v>0.81261711993806429</v>
      </c>
      <c r="L87" s="54">
        <v>0.77857990115046871</v>
      </c>
      <c r="M87" s="54">
        <v>0.65501137824549571</v>
      </c>
      <c r="N87" s="88">
        <v>0.90095553794458927</v>
      </c>
      <c r="O87" s="88">
        <v>0.89189682721792063</v>
      </c>
      <c r="P87" s="88">
        <v>0.8935513943294987</v>
      </c>
      <c r="Q87" s="88">
        <v>0.87361317301064223</v>
      </c>
      <c r="R87" s="88">
        <v>0.92050028937690409</v>
      </c>
      <c r="S87">
        <f t="shared" si="3"/>
        <v>0.84827705816973753</v>
      </c>
      <c r="T87">
        <f t="shared" si="4"/>
        <v>8.2016409791888414E-2</v>
      </c>
    </row>
    <row r="88" spans="9:20" x14ac:dyDescent="0.25">
      <c r="I88" s="54">
        <v>0.91348234183883437</v>
      </c>
      <c r="J88" s="54">
        <v>0.83935014201151903</v>
      </c>
      <c r="K88" s="54">
        <v>0.81122621936639872</v>
      </c>
      <c r="L88" s="54">
        <v>0.77659776076646791</v>
      </c>
      <c r="M88" s="54">
        <v>0.65368604283810683</v>
      </c>
      <c r="N88" s="88">
        <v>0.9000771014828387</v>
      </c>
      <c r="O88" s="88">
        <v>0.89012036243122183</v>
      </c>
      <c r="P88" s="88">
        <v>0.89180507576279677</v>
      </c>
      <c r="Q88" s="88">
        <v>0.87200925931715401</v>
      </c>
      <c r="R88" s="88">
        <v>0.91913050750525194</v>
      </c>
      <c r="S88">
        <f t="shared" si="3"/>
        <v>0.84674848133205882</v>
      </c>
      <c r="T88">
        <f t="shared" si="4"/>
        <v>8.2054606836213656E-2</v>
      </c>
    </row>
    <row r="89" spans="9:20" x14ac:dyDescent="0.25">
      <c r="I89" s="54">
        <v>0.91214215800119369</v>
      </c>
      <c r="J89" s="54">
        <v>0.83741742828446664</v>
      </c>
      <c r="K89" s="54">
        <v>0.80980775042476216</v>
      </c>
      <c r="L89" s="54">
        <v>0.77458630543929141</v>
      </c>
      <c r="M89" s="54">
        <v>0.65233751970704001</v>
      </c>
      <c r="N89" s="88">
        <v>0.89917159217090137</v>
      </c>
      <c r="O89" s="88">
        <v>0.88831245339674192</v>
      </c>
      <c r="P89" s="88">
        <v>0.89002740927496915</v>
      </c>
      <c r="Q89" s="88">
        <v>0.87037518372188871</v>
      </c>
      <c r="R89" s="88">
        <v>0.91773052671006827</v>
      </c>
      <c r="S89">
        <f t="shared" si="3"/>
        <v>0.84519083271313244</v>
      </c>
      <c r="T89">
        <f t="shared" si="4"/>
        <v>8.2092252846118041E-2</v>
      </c>
    </row>
    <row r="90" spans="9:20" x14ac:dyDescent="0.25">
      <c r="I90" s="54">
        <v>0.9107718135412386</v>
      </c>
      <c r="J90" s="54">
        <v>0.83545369752547149</v>
      </c>
      <c r="K90" s="54">
        <v>0.8083613573719165</v>
      </c>
      <c r="L90" s="54">
        <v>0.77254522725391472</v>
      </c>
      <c r="M90" s="54">
        <v>0.65096553137930124</v>
      </c>
      <c r="N90" s="88">
        <v>0.89823859248742477</v>
      </c>
      <c r="O90" s="88">
        <v>0.8864727209336779</v>
      </c>
      <c r="P90" s="88">
        <v>0.88821801339179551</v>
      </c>
      <c r="Q90" s="88">
        <v>0.86871056850757766</v>
      </c>
      <c r="R90" s="88">
        <v>0.91629993579060764</v>
      </c>
      <c r="S90">
        <f t="shared" si="3"/>
        <v>0.84360374581829267</v>
      </c>
      <c r="T90">
        <f t="shared" si="4"/>
        <v>8.2129322295313306E-2</v>
      </c>
    </row>
    <row r="91" spans="9:20" x14ac:dyDescent="0.25">
      <c r="I91" s="54">
        <v>0.90937089537223359</v>
      </c>
      <c r="J91" s="54">
        <v>0.8334586029801575</v>
      </c>
      <c r="K91" s="54">
        <v>0.80688668276538422</v>
      </c>
      <c r="L91" s="54">
        <v>0.77047421835817009</v>
      </c>
      <c r="M91" s="54">
        <v>0.64956979952935379</v>
      </c>
      <c r="N91" s="88">
        <v>0.89727768142678732</v>
      </c>
      <c r="O91" s="88">
        <v>0.88460078462777458</v>
      </c>
      <c r="P91" s="88">
        <v>0.88637650531746259</v>
      </c>
      <c r="Q91" s="88">
        <v>0.86701503440135497</v>
      </c>
      <c r="R91" s="88">
        <v>0.91483832111019681</v>
      </c>
      <c r="S91">
        <f t="shared" si="3"/>
        <v>0.84198685258888761</v>
      </c>
      <c r="T91">
        <f t="shared" si="4"/>
        <v>8.2165788991185887E-2</v>
      </c>
    </row>
    <row r="92" spans="9:20" x14ac:dyDescent="0.25">
      <c r="I92" s="54">
        <v>0.90793898797204153</v>
      </c>
      <c r="J92" s="54">
        <v>0.83143179746529527</v>
      </c>
      <c r="K92" s="54">
        <v>0.80538336757297102</v>
      </c>
      <c r="L92" s="54">
        <v>0.76837297111029723</v>
      </c>
      <c r="M92" s="54">
        <v>0.64815004508185614</v>
      </c>
      <c r="N92" s="88">
        <v>0.89628843458051966</v>
      </c>
      <c r="O92" s="88">
        <v>0.88269626296944759</v>
      </c>
      <c r="P92" s="88">
        <v>0.88450250107086092</v>
      </c>
      <c r="Q92" s="88">
        <v>0.86528820070150081</v>
      </c>
      <c r="R92" s="88">
        <v>0.91334526670954796</v>
      </c>
      <c r="S92">
        <f t="shared" si="3"/>
        <v>0.84033978352343386</v>
      </c>
      <c r="T92">
        <f t="shared" si="4"/>
        <v>8.2201626063410485E-2</v>
      </c>
    </row>
    <row r="93" spans="9:20" x14ac:dyDescent="0.25">
      <c r="I93" s="54">
        <v>0.90647567349864078</v>
      </c>
      <c r="J93" s="54">
        <v>0.82937293351944741</v>
      </c>
      <c r="K93" s="54">
        <v>0.80385105128992873</v>
      </c>
      <c r="L93" s="54">
        <v>0.76624117823233373</v>
      </c>
      <c r="M93" s="54">
        <v>0.64670598831910797</v>
      </c>
      <c r="N93" s="88">
        <v>0.89527042422448244</v>
      </c>
      <c r="O93" s="88">
        <v>0.88075877349831322</v>
      </c>
      <c r="P93" s="88">
        <v>0.88259561562823607</v>
      </c>
      <c r="Q93" s="88">
        <v>0.86352968541032615</v>
      </c>
      <c r="R93" s="88">
        <v>0.91182035442627618</v>
      </c>
      <c r="S93">
        <f t="shared" si="3"/>
        <v>0.83866216780470926</v>
      </c>
      <c r="T93">
        <f t="shared" si="4"/>
        <v>8.2236805952591224E-2</v>
      </c>
    </row>
    <row r="94" spans="9:20" x14ac:dyDescent="0.25">
      <c r="I94" s="54">
        <v>0.90498053191201644</v>
      </c>
      <c r="J94" s="54">
        <v>0.8272816635599316</v>
      </c>
      <c r="K94" s="54">
        <v>0.80228937206193052</v>
      </c>
      <c r="L94" s="54">
        <v>0.76407853296946038</v>
      </c>
      <c r="M94" s="54">
        <v>0.64523734899332419</v>
      </c>
      <c r="N94" s="88">
        <v>0.89422321941192329</v>
      </c>
      <c r="O94" s="88">
        <v>0.87878793295423219</v>
      </c>
      <c r="P94" s="88">
        <v>0.88065546307237963</v>
      </c>
      <c r="Q94" s="88">
        <v>0.86173910537338971</v>
      </c>
      <c r="R94" s="88">
        <v>0.91026316402089058</v>
      </c>
      <c r="S94">
        <f t="shared" si="3"/>
        <v>0.83695363343294782</v>
      </c>
      <c r="T94">
        <f t="shared" si="4"/>
        <v>8.2271300398951711E-2</v>
      </c>
    </row>
    <row r="95" spans="9:20" x14ac:dyDescent="0.25">
      <c r="I95" s="54">
        <v>0.90345314110257702</v>
      </c>
      <c r="J95" s="54">
        <v>0.82515764004622694</v>
      </c>
      <c r="K95" s="54">
        <v>0.80069796681400229</v>
      </c>
      <c r="L95" s="54">
        <v>0.76188472925542394</v>
      </c>
      <c r="M95" s="54">
        <v>0.6437438464438181</v>
      </c>
      <c r="N95" s="88">
        <v>0.8931463860726564</v>
      </c>
      <c r="O95" s="88">
        <v>0.87678335743508373</v>
      </c>
      <c r="P95" s="88">
        <v>0.8786816567485215</v>
      </c>
      <c r="Q95" s="88">
        <v>0.85991607642518819</v>
      </c>
      <c r="R95" s="88">
        <v>0.90867327330936309</v>
      </c>
      <c r="S95">
        <f t="shared" si="3"/>
        <v>0.83521380736528616</v>
      </c>
      <c r="T95">
        <f t="shared" si="4"/>
        <v>8.2305080431095703E-2</v>
      </c>
    </row>
    <row r="96" spans="9:20" x14ac:dyDescent="0.25">
      <c r="I96" s="54">
        <v>0.90189307702626853</v>
      </c>
      <c r="J96" s="54">
        <v>0.82300051564998022</v>
      </c>
      <c r="K96" s="54">
        <v>0.79907647138558524</v>
      </c>
      <c r="L96" s="54">
        <v>0.75965946188417866</v>
      </c>
      <c r="M96" s="54">
        <v>0.6422251997192675</v>
      </c>
      <c r="N96" s="88">
        <v>0.89203948711854586</v>
      </c>
      <c r="O96" s="88">
        <v>0.87474466256137673</v>
      </c>
      <c r="P96" s="88">
        <v>0.87667380942706874</v>
      </c>
      <c r="Q96" s="88">
        <v>0.85806021354148643</v>
      </c>
      <c r="R96" s="88">
        <v>0.90705025830249775</v>
      </c>
      <c r="S96">
        <f t="shared" si="3"/>
        <v>0.83344231566162574</v>
      </c>
      <c r="T96">
        <f t="shared" si="4"/>
        <v>8.233811635483472E-2</v>
      </c>
    </row>
    <row r="97" spans="9:20" x14ac:dyDescent="0.25">
      <c r="I97" s="54">
        <v>0.90029991384660502</v>
      </c>
      <c r="J97" s="54">
        <v>0.82080994343173386</v>
      </c>
      <c r="K97" s="54">
        <v>0.797424520671837</v>
      </c>
      <c r="L97" s="54">
        <v>0.75740242668782876</v>
      </c>
      <c r="M97" s="54">
        <v>0.64068112770512309</v>
      </c>
      <c r="N97" s="88">
        <v>0.89090208255544423</v>
      </c>
      <c r="O97" s="88">
        <v>0.87267146364789516</v>
      </c>
      <c r="P97" s="88">
        <v>0.8746315334733562</v>
      </c>
      <c r="Q97" s="88">
        <v>0.85617113099845155</v>
      </c>
      <c r="R97" s="88">
        <v>0.90539369335227016</v>
      </c>
      <c r="S97">
        <f t="shared" si="3"/>
        <v>0.83163878363705446</v>
      </c>
      <c r="T97">
        <f t="shared" si="4"/>
        <v>8.2370377742121567E-2</v>
      </c>
    </row>
    <row r="98" spans="9:20" x14ac:dyDescent="0.25">
      <c r="I98" s="54">
        <v>0.89867322408373018</v>
      </c>
      <c r="J98" s="54">
        <v>0.81858557702452117</v>
      </c>
      <c r="K98" s="54">
        <v>0.79574174877137172</v>
      </c>
      <c r="L98" s="54">
        <v>0.75511332072102566</v>
      </c>
      <c r="M98" s="54">
        <v>0.63911134925629176</v>
      </c>
      <c r="N98" s="88">
        <v>0.88973372960182406</v>
      </c>
      <c r="O98" s="88">
        <v>0.87056337588250055</v>
      </c>
      <c r="P98" s="88">
        <v>0.87255444102457358</v>
      </c>
      <c r="Q98" s="88">
        <v>0.85424844253873222</v>
      </c>
      <c r="R98" s="88">
        <v>0.90370315130529466</v>
      </c>
      <c r="S98">
        <f t="shared" si="3"/>
        <v>0.82980283602098659</v>
      </c>
      <c r="T98">
        <f t="shared" si="4"/>
        <v>8.2401833420088735E-2</v>
      </c>
    </row>
    <row r="99" spans="9:20" x14ac:dyDescent="0.25">
      <c r="I99" s="54">
        <v>0.89701257877075746</v>
      </c>
      <c r="J99" s="54">
        <v>0.81632707082445455</v>
      </c>
      <c r="K99" s="54">
        <v>0.79402778914054006</v>
      </c>
      <c r="L99" s="54">
        <v>0.75279184245188757</v>
      </c>
      <c r="M99" s="54">
        <v>0.63751558333521163</v>
      </c>
      <c r="N99" s="88">
        <v>0.88853398281425644</v>
      </c>
      <c r="O99" s="88">
        <v>0.86842001451226769</v>
      </c>
      <c r="P99" s="88">
        <v>0.87044214417399679</v>
      </c>
      <c r="Q99" s="88">
        <v>0.85229176154465869</v>
      </c>
      <c r="R99" s="88">
        <v>0.90197820366363413</v>
      </c>
      <c r="S99">
        <f t="shared" si="3"/>
        <v>0.82793409712316657</v>
      </c>
      <c r="T99">
        <f t="shared" si="4"/>
        <v>8.2432451460222336E-2</v>
      </c>
    </row>
    <row r="100" spans="9:20" x14ac:dyDescent="0.25">
      <c r="I100" s="54">
        <v>0.89531754761752413</v>
      </c>
      <c r="J100" s="54">
        <v>0.81403408018846335</v>
      </c>
      <c r="K100" s="54">
        <v>0.79228227475445479</v>
      </c>
      <c r="L100" s="54">
        <v>0.75043769195961441</v>
      </c>
      <c r="M100" s="54">
        <v>0.63589354915544793</v>
      </c>
      <c r="N100" s="88">
        <v>0.88730239421996926</v>
      </c>
      <c r="O100" s="88">
        <v>0.86624099503709373</v>
      </c>
      <c r="P100" s="88">
        <v>0.86829425516271785</v>
      </c>
      <c r="Q100" s="88">
        <v>0.85030070121870338</v>
      </c>
      <c r="R100" s="88">
        <v>0.90021842075309766</v>
      </c>
      <c r="S100">
        <f t="shared" ref="S100:S103" si="5">AVERAGE(I100:R100)</f>
        <v>0.82603219100670877</v>
      </c>
      <c r="T100">
        <f t="shared" si="4"/>
        <v>8.2462199167672875E-2</v>
      </c>
    </row>
    <row r="101" spans="9:20" x14ac:dyDescent="0.25">
      <c r="I101" s="54">
        <v>0.89358769918195857</v>
      </c>
      <c r="J101" s="54">
        <v>0.81170626163926651</v>
      </c>
      <c r="K101" s="54">
        <v>0.79050483827484674</v>
      </c>
      <c r="L101" s="54">
        <v>0.74805057113883278</v>
      </c>
      <c r="M101" s="54">
        <v>0.63424496633085337</v>
      </c>
      <c r="N101" s="88">
        <v>0.88603851345664864</v>
      </c>
      <c r="O101" s="88">
        <v>0.86402593341094081</v>
      </c>
      <c r="P101" s="88">
        <v>0.86611038657899786</v>
      </c>
      <c r="Q101" s="88">
        <v>0.84827487477137564</v>
      </c>
      <c r="R101" s="88">
        <v>0.89842337189922417</v>
      </c>
      <c r="S101">
        <f t="shared" si="5"/>
        <v>0.8240967416682945</v>
      </c>
      <c r="T101">
        <f t="shared" si="4"/>
        <v>8.2491043070750975E-2</v>
      </c>
    </row>
    <row r="102" spans="9:20" x14ac:dyDescent="0.25">
      <c r="I102" s="54">
        <v>0.89182260104922162</v>
      </c>
      <c r="J102" s="54">
        <v>0.80934327307775422</v>
      </c>
      <c r="K102" s="54">
        <v>0.78869511222494548</v>
      </c>
      <c r="L102" s="54">
        <v>0.74563018391083624</v>
      </c>
      <c r="M102" s="54">
        <v>0.63256955503048162</v>
      </c>
      <c r="N102" s="88">
        <v>0.88474188791968478</v>
      </c>
      <c r="O102" s="88">
        <v>0.86177444625082711</v>
      </c>
      <c r="P102" s="88">
        <v>0.86389015156538373</v>
      </c>
      <c r="Q102" s="88">
        <v>0.84621389561666216</v>
      </c>
      <c r="R102" s="88">
        <v>0.89659262561112707</v>
      </c>
      <c r="S102">
        <f t="shared" si="5"/>
        <v>0.8221273732256924</v>
      </c>
      <c r="T102">
        <f t="shared" si="4"/>
        <v>8.2518948910593096E-2</v>
      </c>
    </row>
    <row r="103" spans="9:20" x14ac:dyDescent="0.25">
      <c r="I103" s="54">
        <v>0.8900218200188128</v>
      </c>
      <c r="J103" s="54">
        <v>0.80694477400286546</v>
      </c>
      <c r="K103" s="54">
        <v>0.7868527291715216</v>
      </c>
      <c r="L103" s="54">
        <v>0.74317623644177988</v>
      </c>
      <c r="M103" s="54">
        <v>0.63086703613930228</v>
      </c>
      <c r="N103" s="88">
        <v>0.88341206291706353</v>
      </c>
      <c r="O103" s="88">
        <v>0.85948615105378068</v>
      </c>
      <c r="P103" s="88">
        <v>0.86163316403377899</v>
      </c>
      <c r="Q103" s="88">
        <v>0.84411737757522654</v>
      </c>
      <c r="R103" s="88">
        <v>0.89472574977335506</v>
      </c>
      <c r="S103">
        <f t="shared" si="5"/>
        <v>0.82012371011274876</v>
      </c>
      <c r="T103">
        <f t="shared" si="4"/>
        <v>8.25458816310463E-2</v>
      </c>
    </row>
    <row r="104" spans="9:20" x14ac:dyDescent="0.25">
      <c r="S104" s="57">
        <f>AVERAGE(S4:S103)</f>
        <v>0.87741390106093187</v>
      </c>
      <c r="T104" s="57">
        <f>STDEV(S4:S103)</f>
        <v>2.4492907490463151E-2</v>
      </c>
    </row>
  </sheetData>
  <mergeCells count="2">
    <mergeCell ref="B38:G39"/>
    <mergeCell ref="B1:CE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Spectral forecast - simple</vt:lpstr>
      <vt:lpstr>Spectral forecast - on data</vt:lpstr>
      <vt:lpstr>-</vt:lpstr>
      <vt:lpstr>+</vt:lpstr>
      <vt:lpstr>'Spectral forecast - on data'!Print_Area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Paul</cp:lastModifiedBy>
  <dcterms:created xsi:type="dcterms:W3CDTF">2006-09-16T00:00:00Z</dcterms:created>
  <dcterms:modified xsi:type="dcterms:W3CDTF">2020-03-18T04:59:25Z</dcterms:modified>
</cp:coreProperties>
</file>